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B8B31FBB-EC55-4511-A339-6E0A18DCF65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<sst xmlns="http://schemas.openxmlformats.org/spreadsheetml/2006/main" count="968" uniqueCount="22">
  <si>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</si>
  <si>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</si>
  <si>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</si>
  <si>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</si>
  <si>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</si>
  <si>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</si>
  <si>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</si>
  <si>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Paulínia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</si>
  <si>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</si>
  <si>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</si>
  <si>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</si>
  <si>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</si>
  <si>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</si>
  <si>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</si>
  <si>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</si>
  <si>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</si>
  <si>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</si>
  <si>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Rótulos de Linha</t>
  </si>
  <si>
    <t>Soma de Valor (US$)</t>
  </si>
  <si>
    <t>Total Soma de Valor (US$)</t>
  </si>
  <si>
    <t>Total Soma de % do Total</t>
  </si>
  <si>
    <t>Soma de 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</si>
</sst>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14696643518" createdVersion="8" refreshedVersion="8" minRefreshableVersion="3" recordCount="136" xr:uid="{2ABC90B9-3C03-4C01-9C17-A2E1DDBFE77F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12" maxValue="54" count="12">
        <n v="29"/>
        <n v="38"/>
        <n v="40"/>
        <n v="27"/>
        <n v="30"/>
        <s v="Subtotal"/>
        <s v="Outros"/>
        <s v="TOTAL"/>
        <n v="39"/>
        <n v="12"/>
        <n v="54"/>
        <n v="23"/>
      </sharedItems>
    </cacheField>
    <cacheField name="Valor (US$)" numFmtId="0">
      <sharedItems containsSemiMixedTypes="0" containsString="0" containsNumber="1" containsInteger="1" minValue="29831243" maxValue="980815202"/>
    </cacheField>
    <cacheField name="% do Total" numFmtId="0">
      <sharedItems containsSemiMixedTypes="0" containsString="0" containsNumber="1" minValue="3.398351284126309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15514467593" createdVersion="8" refreshedVersion="8" minRefreshableVersion="3" recordCount="136" xr:uid="{165B7AE4-C803-4851-8C46-1B859C55676A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25" maxValue="87" count="13">
        <n v="29"/>
        <n v="38"/>
        <n v="31"/>
        <n v="25"/>
        <n v="84"/>
        <s v="Subtotal"/>
        <s v="Outros"/>
        <s v="TOTAL"/>
        <n v="30"/>
        <n v="39"/>
        <n v="87"/>
        <n v="85"/>
        <n v="27"/>
      </sharedItems>
    </cacheField>
    <cacheField name="Valor (US$)" numFmtId="0">
      <sharedItems containsSemiMixedTypes="0" containsString="0" containsNumber="1" containsInteger="1" minValue="29017610" maxValue="6527285591"/>
    </cacheField>
    <cacheField name="% do Total" numFmtId="0">
      <sharedItems containsSemiMixedTypes="0" containsString="0" containsNumber="1" minValue="1.6084792993362469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Paulínia - SP"/>
    <s v="Exportação"/>
    <x v="0"/>
    <x v="0"/>
    <n v="218235938"/>
    <n v="37.482573366225019"/>
    <s v="Top 5"/>
  </r>
  <r>
    <s v="Paulínia - SP"/>
    <s v="Exportação"/>
    <x v="0"/>
    <x v="1"/>
    <n v="165388256"/>
    <n v="28.40585054983935"/>
    <s v="Top 5"/>
  </r>
  <r>
    <s v="Paulínia - SP"/>
    <s v="Exportação"/>
    <x v="0"/>
    <x v="2"/>
    <n v="60827548"/>
    <n v="10.447284949913129"/>
    <s v="Top 5"/>
  </r>
  <r>
    <s v="Paulínia - SP"/>
    <s v="Exportação"/>
    <x v="0"/>
    <x v="3"/>
    <n v="50556796"/>
    <n v="8.6832573617241344"/>
    <s v="Top 5"/>
  </r>
  <r>
    <s v="Paulínia - SP"/>
    <s v="Exportação"/>
    <x v="0"/>
    <x v="4"/>
    <n v="30767303"/>
    <n v="5.2843619733170391"/>
    <s v="Top 5"/>
  </r>
  <r>
    <s v="Paulínia - SP"/>
    <s v="Exportação"/>
    <x v="0"/>
    <x v="5"/>
    <n v="525775841"/>
    <n v="90.303328201018658"/>
    <s v="Total"/>
  </r>
  <r>
    <s v="Paulínia - SP"/>
    <s v="Exportação"/>
    <x v="0"/>
    <x v="6"/>
    <n v="56457230"/>
    <n v="9.69667179898134"/>
    <s v="Total"/>
  </r>
  <r>
    <s v="Paulínia - SP"/>
    <s v="Exportação"/>
    <x v="0"/>
    <x v="7"/>
    <n v="582233071"/>
    <n v="100"/>
    <s v="Total"/>
  </r>
  <r>
    <s v="Paulínia - SP"/>
    <s v="Exportação"/>
    <x v="1"/>
    <x v="0"/>
    <n v="186547437"/>
    <n v="37.047260812220337"/>
    <s v="Top 5"/>
  </r>
  <r>
    <s v="Paulínia - SP"/>
    <s v="Exportação"/>
    <x v="1"/>
    <x v="1"/>
    <n v="124429074"/>
    <n v="24.710906948033081"/>
    <s v="Top 5"/>
  </r>
  <r>
    <s v="Paulínia - SP"/>
    <s v="Exportação"/>
    <x v="1"/>
    <x v="2"/>
    <n v="51212800"/>
    <n v="10.17057103027407"/>
    <s v="Top 5"/>
  </r>
  <r>
    <s v="Paulínia - SP"/>
    <s v="Exportação"/>
    <x v="1"/>
    <x v="3"/>
    <n v="38858836"/>
    <n v="7.7171439892325973"/>
    <s v="Top 5"/>
  </r>
  <r>
    <s v="Paulínia - SP"/>
    <s v="Exportação"/>
    <x v="1"/>
    <x v="4"/>
    <n v="34314766"/>
    <n v="6.8147175118375429"/>
    <s v="Top 5"/>
  </r>
  <r>
    <s v="Paulínia - SP"/>
    <s v="Exportação"/>
    <x v="1"/>
    <x v="5"/>
    <n v="435362913"/>
    <n v="86.460600291597629"/>
    <s v="Total"/>
  </r>
  <r>
    <s v="Paulínia - SP"/>
    <s v="Exportação"/>
    <x v="1"/>
    <x v="6"/>
    <n v="68176169"/>
    <n v="13.539399708402369"/>
    <s v="Total"/>
  </r>
  <r>
    <s v="Paulínia - SP"/>
    <s v="Exportação"/>
    <x v="1"/>
    <x v="7"/>
    <n v="503539082"/>
    <n v="100"/>
    <s v="Total"/>
  </r>
  <r>
    <s v="Paulínia - SP"/>
    <s v="Exportação"/>
    <x v="2"/>
    <x v="0"/>
    <n v="210562113"/>
    <n v="32.624332786720103"/>
    <s v="Top 5"/>
  </r>
  <r>
    <s v="Paulínia - SP"/>
    <s v="Exportação"/>
    <x v="2"/>
    <x v="1"/>
    <n v="180930748"/>
    <n v="28.033271750565081"/>
    <s v="Top 5"/>
  </r>
  <r>
    <s v="Paulínia - SP"/>
    <s v="Exportação"/>
    <x v="2"/>
    <x v="2"/>
    <n v="65308981"/>
    <n v="10.11892357912261"/>
    <s v="Top 5"/>
  </r>
  <r>
    <s v="Paulínia - SP"/>
    <s v="Exportação"/>
    <x v="2"/>
    <x v="4"/>
    <n v="63520462"/>
    <n v="9.841811812812729"/>
    <s v="Top 5"/>
  </r>
  <r>
    <s v="Paulínia - SP"/>
    <s v="Exportação"/>
    <x v="2"/>
    <x v="8"/>
    <n v="46528847"/>
    <n v="7.2091439769621974"/>
    <s v="Top 5"/>
  </r>
  <r>
    <s v="Paulínia - SP"/>
    <s v="Exportação"/>
    <x v="2"/>
    <x v="5"/>
    <n v="566851151"/>
    <n v="87.827483906182735"/>
    <s v="Total"/>
  </r>
  <r>
    <s v="Paulínia - SP"/>
    <s v="Exportação"/>
    <x v="2"/>
    <x v="6"/>
    <n v="78563161"/>
    <n v="12.17251609381727"/>
    <s v="Total"/>
  </r>
  <r>
    <s v="Paulínia - SP"/>
    <s v="Exportação"/>
    <x v="2"/>
    <x v="7"/>
    <n v="645414312"/>
    <n v="100"/>
    <s v="Total"/>
  </r>
  <r>
    <s v="Paulínia - SP"/>
    <s v="Exportação"/>
    <x v="3"/>
    <x v="0"/>
    <n v="256046713"/>
    <n v="30.904632063580301"/>
    <s v="Top 5"/>
  </r>
  <r>
    <s v="Paulínia - SP"/>
    <s v="Exportação"/>
    <x v="3"/>
    <x v="1"/>
    <n v="201018783"/>
    <n v="24.2628052268091"/>
    <s v="Top 5"/>
  </r>
  <r>
    <s v="Paulínia - SP"/>
    <s v="Exportação"/>
    <x v="3"/>
    <x v="8"/>
    <n v="123177464"/>
    <n v="14.86742070945823"/>
    <s v="Top 5"/>
  </r>
  <r>
    <s v="Paulínia - SP"/>
    <s v="Exportação"/>
    <x v="3"/>
    <x v="2"/>
    <n v="75397837"/>
    <n v="9.1004582076974412"/>
    <s v="Top 5"/>
  </r>
  <r>
    <s v="Paulínia - SP"/>
    <s v="Exportação"/>
    <x v="3"/>
    <x v="4"/>
    <n v="65897962"/>
    <n v="7.9538309454876543"/>
    <s v="Top 5"/>
  </r>
  <r>
    <s v="Paulínia - SP"/>
    <s v="Exportação"/>
    <x v="3"/>
    <x v="5"/>
    <n v="721538759"/>
    <n v="87.089147153032727"/>
    <s v="Total"/>
  </r>
  <r>
    <s v="Paulínia - SP"/>
    <s v="Exportação"/>
    <x v="3"/>
    <x v="6"/>
    <n v="106967183"/>
    <n v="12.91085284696727"/>
    <s v="Total"/>
  </r>
  <r>
    <s v="Paulínia - SP"/>
    <s v="Exportação"/>
    <x v="3"/>
    <x v="7"/>
    <n v="828505942"/>
    <n v="100"/>
    <s v="Total"/>
  </r>
  <r>
    <s v="Paulínia - SP"/>
    <s v="Exportação"/>
    <x v="4"/>
    <x v="0"/>
    <n v="187309616"/>
    <n v="24.711899800224511"/>
    <s v="Top 5"/>
  </r>
  <r>
    <s v="Paulínia - SP"/>
    <s v="Exportação"/>
    <x v="4"/>
    <x v="1"/>
    <n v="179894082"/>
    <n v="23.733562771477629"/>
    <s v="Top 5"/>
  </r>
  <r>
    <s v="Paulínia - SP"/>
    <s v="Exportação"/>
    <x v="4"/>
    <x v="8"/>
    <n v="109487386"/>
    <n v="14.444753932016519"/>
    <s v="Top 5"/>
  </r>
  <r>
    <s v="Paulínia - SP"/>
    <s v="Exportação"/>
    <x v="4"/>
    <x v="3"/>
    <n v="84615423"/>
    <n v="11.163376976490159"/>
    <s v="Top 5"/>
  </r>
  <r>
    <s v="Paulínia - SP"/>
    <s v="Exportação"/>
    <x v="4"/>
    <x v="2"/>
    <n v="82529521"/>
    <n v="10.88818234250464"/>
    <s v="Top 5"/>
  </r>
  <r>
    <s v="Paulínia - SP"/>
    <s v="Exportação"/>
    <x v="4"/>
    <x v="5"/>
    <n v="643836028"/>
    <n v="84.941775822713453"/>
    <s v="Total"/>
  </r>
  <r>
    <s v="Paulínia - SP"/>
    <s v="Exportação"/>
    <x v="4"/>
    <x v="6"/>
    <n v="114137327"/>
    <n v="15.058224177286551"/>
    <s v="Total"/>
  </r>
  <r>
    <s v="Paulínia - SP"/>
    <s v="Exportação"/>
    <x v="4"/>
    <x v="7"/>
    <n v="757973355"/>
    <n v="100"/>
    <s v="Total"/>
  </r>
  <r>
    <s v="Paulínia - SP"/>
    <s v="Exportação"/>
    <x v="5"/>
    <x v="0"/>
    <n v="169455415"/>
    <n v="24.884731753858659"/>
    <s v="Top 5"/>
  </r>
  <r>
    <s v="Paulínia - SP"/>
    <s v="Exportação"/>
    <x v="5"/>
    <x v="1"/>
    <n v="127231009"/>
    <n v="18.684026885406858"/>
    <s v="Top 5"/>
  </r>
  <r>
    <s v="Paulínia - SP"/>
    <s v="Exportação"/>
    <x v="5"/>
    <x v="8"/>
    <n v="103844287"/>
    <n v="15.24965859701628"/>
    <s v="Top 5"/>
  </r>
  <r>
    <s v="Paulínia - SP"/>
    <s v="Exportação"/>
    <x v="5"/>
    <x v="2"/>
    <n v="66340317"/>
    <n v="9.7421554395942405"/>
    <s v="Top 5"/>
  </r>
  <r>
    <s v="Paulínia - SP"/>
    <s v="Exportação"/>
    <x v="5"/>
    <x v="4"/>
    <n v="64280863"/>
    <n v="9.4397221396645143"/>
    <s v="Top 5"/>
  </r>
  <r>
    <s v="Paulínia - SP"/>
    <s v="Exportação"/>
    <x v="5"/>
    <x v="5"/>
    <n v="531151891"/>
    <n v="78.00029481554057"/>
    <s v="Total"/>
  </r>
  <r>
    <s v="Paulínia - SP"/>
    <s v="Exportação"/>
    <x v="5"/>
    <x v="6"/>
    <n v="149809498"/>
    <n v="21.99970518445944"/>
    <s v="Total"/>
  </r>
  <r>
    <s v="Paulínia - SP"/>
    <s v="Exportação"/>
    <x v="5"/>
    <x v="7"/>
    <n v="680961389"/>
    <n v="100"/>
    <s v="Total"/>
  </r>
  <r>
    <s v="Paulínia - SP"/>
    <s v="Exportação"/>
    <x v="6"/>
    <x v="0"/>
    <n v="149732042"/>
    <n v="19.21882654217983"/>
    <s v="Top 5"/>
  </r>
  <r>
    <s v="Paulínia - SP"/>
    <s v="Exportação"/>
    <x v="6"/>
    <x v="8"/>
    <n v="146024419"/>
    <n v="18.742935327654109"/>
    <s v="Top 5"/>
  </r>
  <r>
    <s v="Paulínia - SP"/>
    <s v="Exportação"/>
    <x v="6"/>
    <x v="1"/>
    <n v="144376571"/>
    <n v="18.531426124567989"/>
    <s v="Top 5"/>
  </r>
  <r>
    <s v="Paulínia - SP"/>
    <s v="Exportação"/>
    <x v="6"/>
    <x v="4"/>
    <n v="99001310"/>
    <n v="12.707293501938439"/>
    <s v="Top 5"/>
  </r>
  <r>
    <s v="Paulínia - SP"/>
    <s v="Exportação"/>
    <x v="6"/>
    <x v="2"/>
    <n v="73938946"/>
    <n v="9.4904187434083145"/>
    <s v="Top 5"/>
  </r>
  <r>
    <s v="Paulínia - SP"/>
    <s v="Exportação"/>
    <x v="6"/>
    <x v="5"/>
    <n v="613073288"/>
    <n v="78.690900239748672"/>
    <s v="Total"/>
  </r>
  <r>
    <s v="Paulínia - SP"/>
    <s v="Exportação"/>
    <x v="6"/>
    <x v="6"/>
    <n v="166017161"/>
    <n v="21.309099760251328"/>
    <s v="Total"/>
  </r>
  <r>
    <s v="Paulínia - SP"/>
    <s v="Exportação"/>
    <x v="6"/>
    <x v="7"/>
    <n v="779090449"/>
    <n v="100"/>
    <s v="Total"/>
  </r>
  <r>
    <s v="Paulínia - SP"/>
    <s v="Exportação"/>
    <x v="7"/>
    <x v="1"/>
    <n v="119964846"/>
    <n v="18.79222307901405"/>
    <s v="Top 5"/>
  </r>
  <r>
    <s v="Paulínia - SP"/>
    <s v="Exportação"/>
    <x v="7"/>
    <x v="0"/>
    <n v="115651933"/>
    <n v="18.116614966147552"/>
    <s v="Top 5"/>
  </r>
  <r>
    <s v="Paulínia - SP"/>
    <s v="Exportação"/>
    <x v="7"/>
    <x v="8"/>
    <n v="92213330"/>
    <n v="14.44501056766862"/>
    <s v="Top 5"/>
  </r>
  <r>
    <s v="Paulínia - SP"/>
    <s v="Exportação"/>
    <x v="7"/>
    <x v="4"/>
    <n v="85976029"/>
    <n v="13.46795140649604"/>
    <s v="Top 5"/>
  </r>
  <r>
    <s v="Paulínia - SP"/>
    <s v="Exportação"/>
    <x v="7"/>
    <x v="2"/>
    <n v="56356186"/>
    <n v="8.8280696762984086"/>
    <s v="Top 5"/>
  </r>
  <r>
    <s v="Paulínia - SP"/>
    <s v="Exportação"/>
    <x v="7"/>
    <x v="5"/>
    <n v="470162324"/>
    <n v="73.649869695624659"/>
    <s v="Total"/>
  </r>
  <r>
    <s v="Paulínia - SP"/>
    <s v="Exportação"/>
    <x v="7"/>
    <x v="6"/>
    <n v="168212633"/>
    <n v="26.35013030437533"/>
    <s v="Total"/>
  </r>
  <r>
    <s v="Paulínia - SP"/>
    <s v="Exportação"/>
    <x v="7"/>
    <x v="7"/>
    <n v="638374957"/>
    <n v="100"/>
    <s v="Total"/>
  </r>
  <r>
    <s v="Paulínia - SP"/>
    <s v="Exportação"/>
    <x v="8"/>
    <x v="8"/>
    <n v="206244866"/>
    <n v="27.693064416318471"/>
    <s v="Top 5"/>
  </r>
  <r>
    <s v="Paulínia - SP"/>
    <s v="Exportação"/>
    <x v="8"/>
    <x v="4"/>
    <n v="130024141"/>
    <n v="17.45869840168276"/>
    <s v="Top 5"/>
  </r>
  <r>
    <s v="Paulínia - SP"/>
    <s v="Exportação"/>
    <x v="8"/>
    <x v="1"/>
    <n v="121803564"/>
    <n v="16.354898957771731"/>
    <s v="Top 5"/>
  </r>
  <r>
    <s v="Paulínia - SP"/>
    <s v="Exportação"/>
    <x v="8"/>
    <x v="0"/>
    <n v="101923232"/>
    <n v="13.68551219740603"/>
    <s v="Top 5"/>
  </r>
  <r>
    <s v="Paulínia - SP"/>
    <s v="Exportação"/>
    <x v="8"/>
    <x v="2"/>
    <n v="45127566"/>
    <n v="6.0594021874448174"/>
    <s v="Top 5"/>
  </r>
  <r>
    <s v="Paulínia - SP"/>
    <s v="Exportação"/>
    <x v="8"/>
    <x v="5"/>
    <n v="605123369"/>
    <n v="81.251576160623799"/>
    <s v="Total"/>
  </r>
  <r>
    <s v="Paulínia - SP"/>
    <s v="Exportação"/>
    <x v="8"/>
    <x v="6"/>
    <n v="139629407"/>
    <n v="18.748423839376201"/>
    <s v="Total"/>
  </r>
  <r>
    <s v="Paulínia - SP"/>
    <s v="Exportação"/>
    <x v="8"/>
    <x v="7"/>
    <n v="744752776"/>
    <n v="100"/>
    <s v="Total"/>
  </r>
  <r>
    <s v="Paulínia - SP"/>
    <s v="Exportação"/>
    <x v="9"/>
    <x v="8"/>
    <n v="371039344"/>
    <n v="38.943358187602797"/>
    <s v="Top 5"/>
  </r>
  <r>
    <s v="Paulínia - SP"/>
    <s v="Exportação"/>
    <x v="9"/>
    <x v="4"/>
    <n v="130346469"/>
    <n v="13.6808381990786"/>
    <s v="Top 5"/>
  </r>
  <r>
    <s v="Paulínia - SP"/>
    <s v="Exportação"/>
    <x v="9"/>
    <x v="1"/>
    <n v="127143030"/>
    <n v="13.34461328270117"/>
    <s v="Top 5"/>
  </r>
  <r>
    <s v="Paulínia - SP"/>
    <s v="Exportação"/>
    <x v="9"/>
    <x v="0"/>
    <n v="114014731"/>
    <n v="11.96669997345667"/>
    <s v="Top 5"/>
  </r>
  <r>
    <s v="Paulínia - SP"/>
    <s v="Exportação"/>
    <x v="9"/>
    <x v="9"/>
    <n v="49604474"/>
    <n v="5.2063610771412696"/>
    <s v="Top 5"/>
  </r>
  <r>
    <s v="Paulínia - SP"/>
    <s v="Exportação"/>
    <x v="9"/>
    <x v="5"/>
    <n v="792148048"/>
    <n v="83.141870719980503"/>
    <s v="Total"/>
  </r>
  <r>
    <s v="Paulínia - SP"/>
    <s v="Exportação"/>
    <x v="9"/>
    <x v="6"/>
    <n v="160618640"/>
    <n v="16.858129280019501"/>
    <s v="Total"/>
  </r>
  <r>
    <s v="Paulínia - SP"/>
    <s v="Exportação"/>
    <x v="9"/>
    <x v="7"/>
    <n v="952766688"/>
    <n v="100"/>
    <s v="Total"/>
  </r>
  <r>
    <s v="Paulínia - SP"/>
    <s v="Exportação"/>
    <x v="10"/>
    <x v="8"/>
    <n v="318621215"/>
    <n v="37.481028580715147"/>
    <s v="Top 5"/>
  </r>
  <r>
    <s v="Paulínia - SP"/>
    <s v="Exportação"/>
    <x v="10"/>
    <x v="0"/>
    <n v="161140453"/>
    <n v="18.955768291833259"/>
    <s v="Top 5"/>
  </r>
  <r>
    <s v="Paulínia - SP"/>
    <s v="Exportação"/>
    <x v="10"/>
    <x v="1"/>
    <n v="131225987"/>
    <n v="15.436778022704971"/>
    <s v="Top 5"/>
  </r>
  <r>
    <s v="Paulínia - SP"/>
    <s v="Exportação"/>
    <x v="10"/>
    <x v="4"/>
    <n v="125136176"/>
    <n v="14.72040268610928"/>
    <s v="Top 5"/>
  </r>
  <r>
    <s v="Paulínia - SP"/>
    <s v="Exportação"/>
    <x v="10"/>
    <x v="10"/>
    <n v="33086208"/>
    <n v="3.8920983578431412"/>
    <s v="Top 5"/>
  </r>
  <r>
    <s v="Paulínia - SP"/>
    <s v="Exportação"/>
    <x v="10"/>
    <x v="5"/>
    <n v="769210039"/>
    <n v="90.486075939205804"/>
    <s v="Total"/>
  </r>
  <r>
    <s v="Paulínia - SP"/>
    <s v="Exportação"/>
    <x v="10"/>
    <x v="6"/>
    <n v="80876597"/>
    <n v="9.5139240607941993"/>
    <s v="Total"/>
  </r>
  <r>
    <s v="Paulínia - SP"/>
    <s v="Exportação"/>
    <x v="10"/>
    <x v="7"/>
    <n v="850086636"/>
    <n v="100"/>
    <s v="Total"/>
  </r>
  <r>
    <s v="Paulínia - SP"/>
    <s v="Exportação"/>
    <x v="11"/>
    <x v="8"/>
    <n v="334478867"/>
    <n v="38.10356434636541"/>
    <s v="Top 5"/>
  </r>
  <r>
    <s v="Paulínia - SP"/>
    <s v="Exportação"/>
    <x v="11"/>
    <x v="0"/>
    <n v="152082647"/>
    <n v="17.325133207683571"/>
    <s v="Top 5"/>
  </r>
  <r>
    <s v="Paulínia - SP"/>
    <s v="Exportação"/>
    <x v="11"/>
    <x v="1"/>
    <n v="137432178"/>
    <n v="15.65616352582343"/>
    <s v="Top 5"/>
  </r>
  <r>
    <s v="Paulínia - SP"/>
    <s v="Exportação"/>
    <x v="11"/>
    <x v="4"/>
    <n v="131124393"/>
    <n v="14.93758571615111"/>
    <s v="Top 5"/>
  </r>
  <r>
    <s v="Paulínia - SP"/>
    <s v="Exportação"/>
    <x v="11"/>
    <x v="11"/>
    <n v="29831243"/>
    <n v="3.398351284126309"/>
    <s v="Top 5"/>
  </r>
  <r>
    <s v="Paulínia - SP"/>
    <s v="Exportação"/>
    <x v="11"/>
    <x v="5"/>
    <n v="784949328"/>
    <n v="89.420798080149822"/>
    <s v="Total"/>
  </r>
  <r>
    <s v="Paulínia - SP"/>
    <s v="Exportação"/>
    <x v="11"/>
    <x v="6"/>
    <n v="92865839"/>
    <n v="10.579201919850171"/>
    <s v="Total"/>
  </r>
  <r>
    <s v="Paulínia - SP"/>
    <s v="Exportação"/>
    <x v="11"/>
    <x v="7"/>
    <n v="877815167"/>
    <n v="100"/>
    <s v="Total"/>
  </r>
  <r>
    <s v="Paulínia - SP"/>
    <s v="Exportação"/>
    <x v="12"/>
    <x v="8"/>
    <n v="199509069"/>
    <n v="29.006908909173511"/>
    <s v="Top 5"/>
  </r>
  <r>
    <s v="Paulínia - SP"/>
    <s v="Exportação"/>
    <x v="12"/>
    <x v="0"/>
    <n v="138524900"/>
    <n v="20.1403333497204"/>
    <s v="Top 5"/>
  </r>
  <r>
    <s v="Paulínia - SP"/>
    <s v="Exportação"/>
    <x v="12"/>
    <x v="1"/>
    <n v="112369072"/>
    <n v="16.337500104881741"/>
    <s v="Top 5"/>
  </r>
  <r>
    <s v="Paulínia - SP"/>
    <s v="Exportação"/>
    <x v="12"/>
    <x v="4"/>
    <n v="104563400"/>
    <n v="15.20262228797966"/>
    <s v="Top 5"/>
  </r>
  <r>
    <s v="Paulínia - SP"/>
    <s v="Exportação"/>
    <x v="12"/>
    <x v="11"/>
    <n v="42827955"/>
    <n v="6.226817636300944"/>
    <s v="Top 5"/>
  </r>
  <r>
    <s v="Paulínia - SP"/>
    <s v="Exportação"/>
    <x v="12"/>
    <x v="5"/>
    <n v="597794396"/>
    <n v="86.914182288056253"/>
    <s v="Total"/>
  </r>
  <r>
    <s v="Paulínia - SP"/>
    <s v="Exportação"/>
    <x v="12"/>
    <x v="6"/>
    <n v="90004051"/>
    <n v="13.08581771194374"/>
    <s v="Total"/>
  </r>
  <r>
    <s v="Paulínia - SP"/>
    <s v="Exportação"/>
    <x v="12"/>
    <x v="7"/>
    <n v="687798447"/>
    <n v="100"/>
    <s v="Total"/>
  </r>
  <r>
    <s v="Paulínia - SP"/>
    <s v="Exportação"/>
    <x v="13"/>
    <x v="0"/>
    <n v="223467382"/>
    <n v="28.091199676762511"/>
    <s v="Top 5"/>
  </r>
  <r>
    <s v="Paulínia - SP"/>
    <s v="Exportação"/>
    <x v="13"/>
    <x v="8"/>
    <n v="210772081"/>
    <n v="26.495323660514181"/>
    <s v="Top 5"/>
  </r>
  <r>
    <s v="Paulínia - SP"/>
    <s v="Exportação"/>
    <x v="13"/>
    <x v="4"/>
    <n v="125491788"/>
    <n v="15.775075731195299"/>
    <s v="Top 5"/>
  </r>
  <r>
    <s v="Paulínia - SP"/>
    <s v="Exportação"/>
    <x v="13"/>
    <x v="1"/>
    <n v="99237739"/>
    <n v="12.474783195515499"/>
    <s v="Top 5"/>
  </r>
  <r>
    <s v="Paulínia - SP"/>
    <s v="Exportação"/>
    <x v="13"/>
    <x v="10"/>
    <n v="58273601"/>
    <n v="7.325343622520208"/>
    <s v="Top 5"/>
  </r>
  <r>
    <s v="Paulínia - SP"/>
    <s v="Exportação"/>
    <x v="13"/>
    <x v="5"/>
    <n v="717242591"/>
    <n v="90.161725886507682"/>
    <s v="Total"/>
  </r>
  <r>
    <s v="Paulínia - SP"/>
    <s v="Exportação"/>
    <x v="13"/>
    <x v="6"/>
    <n v="78264132"/>
    <n v="9.8382741134923126"/>
    <s v="Total"/>
  </r>
  <r>
    <s v="Paulínia - SP"/>
    <s v="Exportação"/>
    <x v="13"/>
    <x v="7"/>
    <n v="795506723"/>
    <n v="100"/>
    <s v="Total"/>
  </r>
  <r>
    <s v="Paulínia - SP"/>
    <s v="Exportação"/>
    <x v="14"/>
    <x v="8"/>
    <n v="276267073"/>
    <n v="28.16708717775359"/>
    <s v="Top 5"/>
  </r>
  <r>
    <s v="Paulínia - SP"/>
    <s v="Exportação"/>
    <x v="14"/>
    <x v="0"/>
    <n v="241513410"/>
    <n v="24.623742526372471"/>
    <s v="Top 5"/>
  </r>
  <r>
    <s v="Paulínia - SP"/>
    <s v="Exportação"/>
    <x v="14"/>
    <x v="4"/>
    <n v="165362455"/>
    <n v="16.859695349624079"/>
    <s v="Top 5"/>
  </r>
  <r>
    <s v="Paulínia - SP"/>
    <s v="Exportação"/>
    <x v="14"/>
    <x v="1"/>
    <n v="124752357"/>
    <n v="12.719251979946369"/>
    <s v="Top 5"/>
  </r>
  <r>
    <s v="Paulínia - SP"/>
    <s v="Exportação"/>
    <x v="14"/>
    <x v="10"/>
    <n v="64200999"/>
    <n v="6.5456773986665846"/>
    <s v="Top 5"/>
  </r>
  <r>
    <s v="Paulínia - SP"/>
    <s v="Exportação"/>
    <x v="14"/>
    <x v="5"/>
    <n v="872096294"/>
    <n v="88.915454432363092"/>
    <s v="Total"/>
  </r>
  <r>
    <s v="Paulínia - SP"/>
    <s v="Exportação"/>
    <x v="14"/>
    <x v="6"/>
    <n v="108718908"/>
    <n v="11.08454556763691"/>
    <s v="Total"/>
  </r>
  <r>
    <s v="Paulínia - SP"/>
    <s v="Exportação"/>
    <x v="14"/>
    <x v="7"/>
    <n v="980815202"/>
    <n v="100"/>
    <s v="Total"/>
  </r>
  <r>
    <s v="Paulínia - SP"/>
    <s v="Exportação"/>
    <x v="15"/>
    <x v="8"/>
    <n v="176519443"/>
    <n v="20.616340597924228"/>
    <s v="Top 5"/>
  </r>
  <r>
    <s v="Paulínia - SP"/>
    <s v="Exportação"/>
    <x v="15"/>
    <x v="4"/>
    <n v="167857412"/>
    <n v="19.604670844548799"/>
    <s v="Top 5"/>
  </r>
  <r>
    <s v="Paulínia - SP"/>
    <s v="Exportação"/>
    <x v="15"/>
    <x v="0"/>
    <n v="146288868"/>
    <n v="17.085603019791868"/>
    <s v="Top 5"/>
  </r>
  <r>
    <s v="Paulínia - SP"/>
    <s v="Exportação"/>
    <x v="15"/>
    <x v="3"/>
    <n v="135274262"/>
    <n v="15.799167571160069"/>
    <s v="Top 5"/>
  </r>
  <r>
    <s v="Paulínia - SP"/>
    <s v="Exportação"/>
    <x v="15"/>
    <x v="1"/>
    <n v="110551852"/>
    <n v="12.911748393423791"/>
    <s v="Top 5"/>
  </r>
  <r>
    <s v="Paulínia - SP"/>
    <s v="Exportação"/>
    <x v="15"/>
    <x v="5"/>
    <n v="736491837"/>
    <n v="86.017530426848765"/>
    <s v="Total"/>
  </r>
  <r>
    <s v="Paulínia - SP"/>
    <s v="Exportação"/>
    <x v="15"/>
    <x v="6"/>
    <n v="119719488"/>
    <n v="13.98246957315123"/>
    <s v="Total"/>
  </r>
  <r>
    <s v="Paulínia - SP"/>
    <s v="Exportação"/>
    <x v="15"/>
    <x v="7"/>
    <n v="856211325"/>
    <n v="100"/>
    <s v="Total"/>
  </r>
  <r>
    <s v="Paulínia - SP"/>
    <s v="Exportação"/>
    <x v="16"/>
    <x v="4"/>
    <n v="209687780"/>
    <n v="25.971690092376299"/>
    <s v="Top 5"/>
  </r>
  <r>
    <s v="Paulínia - SP"/>
    <s v="Exportação"/>
    <x v="16"/>
    <x v="0"/>
    <n v="154163210"/>
    <n v="19.094479963333711"/>
    <s v="Top 5"/>
  </r>
  <r>
    <s v="Paulínia - SP"/>
    <s v="Exportação"/>
    <x v="16"/>
    <x v="8"/>
    <n v="147030547"/>
    <n v="18.21103643138655"/>
    <s v="Top 5"/>
  </r>
  <r>
    <s v="Paulínia - SP"/>
    <s v="Exportação"/>
    <x v="16"/>
    <x v="1"/>
    <n v="129653401"/>
    <n v="16.058722879295079"/>
    <s v="Top 5"/>
  </r>
  <r>
    <s v="Paulínia - SP"/>
    <s v="Exportação"/>
    <x v="16"/>
    <x v="3"/>
    <n v="49087124"/>
    <n v="6.0798753845076101"/>
    <s v="Top 5"/>
  </r>
  <r>
    <s v="Paulínia - SP"/>
    <s v="Exportação"/>
    <x v="16"/>
    <x v="5"/>
    <n v="689622062"/>
    <n v="85.415804750899255"/>
    <s v="Total"/>
  </r>
  <r>
    <s v="Paulínia - SP"/>
    <s v="Exportação"/>
    <x v="16"/>
    <x v="6"/>
    <n v="117748499"/>
    <n v="14.584195249100739"/>
    <s v="Total"/>
  </r>
  <r>
    <s v="Paulínia - SP"/>
    <s v="Exportação"/>
    <x v="16"/>
    <x v="7"/>
    <n v="807370561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Paulínia - SP"/>
    <s v="Importação"/>
    <x v="0"/>
    <x v="0"/>
    <n v="1049150752"/>
    <n v="57.319800944162303"/>
    <s v="Top 5"/>
  </r>
  <r>
    <s v="Paulínia - SP"/>
    <s v="Importação"/>
    <x v="0"/>
    <x v="1"/>
    <n v="453361013"/>
    <n v="24.769141109097522"/>
    <s v="Top 5"/>
  </r>
  <r>
    <s v="Paulínia - SP"/>
    <s v="Importação"/>
    <x v="0"/>
    <x v="2"/>
    <n v="168776249"/>
    <n v="9.221001822989086"/>
    <s v="Top 5"/>
  </r>
  <r>
    <s v="Paulínia - SP"/>
    <s v="Importação"/>
    <x v="0"/>
    <x v="3"/>
    <n v="50068317"/>
    <n v="2.735456233127894"/>
    <s v="Top 5"/>
  </r>
  <r>
    <s v="Paulínia - SP"/>
    <s v="Importação"/>
    <x v="0"/>
    <x v="4"/>
    <n v="34663973"/>
    <n v="1.8938479799076731"/>
    <s v="Top 5"/>
  </r>
  <r>
    <s v="Paulínia - SP"/>
    <s v="Importação"/>
    <x v="0"/>
    <x v="5"/>
    <n v="1756020304"/>
    <n v="95.939248089284476"/>
    <s v="Total"/>
  </r>
  <r>
    <s v="Paulínia - SP"/>
    <s v="Importação"/>
    <x v="0"/>
    <x v="6"/>
    <n v="74325815"/>
    <n v="4.0607519107155277"/>
    <s v="Total"/>
  </r>
  <r>
    <s v="Paulínia - SP"/>
    <s v="Importação"/>
    <x v="0"/>
    <x v="7"/>
    <n v="1830346119"/>
    <n v="100"/>
    <s v="Total"/>
  </r>
  <r>
    <s v="Paulínia - SP"/>
    <s v="Importação"/>
    <x v="1"/>
    <x v="0"/>
    <n v="951316274"/>
    <n v="52.732548747146602"/>
    <s v="Top 5"/>
  </r>
  <r>
    <s v="Paulínia - SP"/>
    <s v="Importação"/>
    <x v="1"/>
    <x v="1"/>
    <n v="566484588"/>
    <n v="31.400888398149341"/>
    <s v="Top 5"/>
  </r>
  <r>
    <s v="Paulínia - SP"/>
    <s v="Importação"/>
    <x v="1"/>
    <x v="2"/>
    <n v="103336275"/>
    <n v="5.7280478718963312"/>
    <s v="Top 5"/>
  </r>
  <r>
    <s v="Paulínia - SP"/>
    <s v="Importação"/>
    <x v="1"/>
    <x v="4"/>
    <n v="56509567"/>
    <n v="3.1323899085401821"/>
    <s v="Top 5"/>
  </r>
  <r>
    <s v="Paulínia - SP"/>
    <s v="Importação"/>
    <x v="1"/>
    <x v="8"/>
    <n v="29017610"/>
    <n v="1.6084792993362469"/>
    <s v="Top 5"/>
  </r>
  <r>
    <s v="Paulínia - SP"/>
    <s v="Importação"/>
    <x v="1"/>
    <x v="5"/>
    <n v="1706664314"/>
    <n v="94.602354225068694"/>
    <s v="Total"/>
  </r>
  <r>
    <s v="Paulínia - SP"/>
    <s v="Importação"/>
    <x v="1"/>
    <x v="6"/>
    <n v="97375689"/>
    <n v="5.3976457749313003"/>
    <s v="Total"/>
  </r>
  <r>
    <s v="Paulínia - SP"/>
    <s v="Importação"/>
    <x v="1"/>
    <x v="7"/>
    <n v="1804040003"/>
    <n v="100"/>
    <s v="Total"/>
  </r>
  <r>
    <s v="Paulínia - SP"/>
    <s v="Importação"/>
    <x v="2"/>
    <x v="0"/>
    <n v="913567652"/>
    <n v="46.290514617012533"/>
    <s v="Top 5"/>
  </r>
  <r>
    <s v="Paulínia - SP"/>
    <s v="Importação"/>
    <x v="2"/>
    <x v="1"/>
    <n v="630090754"/>
    <n v="31.926727259035491"/>
    <s v="Top 5"/>
  </r>
  <r>
    <s v="Paulínia - SP"/>
    <s v="Importação"/>
    <x v="2"/>
    <x v="4"/>
    <n v="142044974"/>
    <n v="7.1974253147266269"/>
    <s v="Top 5"/>
  </r>
  <r>
    <s v="Paulínia - SP"/>
    <s v="Importação"/>
    <x v="2"/>
    <x v="2"/>
    <n v="66067609"/>
    <n v="3.3476487629900991"/>
    <s v="Top 5"/>
  </r>
  <r>
    <s v="Paulínia - SP"/>
    <s v="Importação"/>
    <x v="2"/>
    <x v="9"/>
    <n v="58945805"/>
    <n v="2.9867866293103709"/>
    <s v="Top 5"/>
  </r>
  <r>
    <s v="Paulínia - SP"/>
    <s v="Importação"/>
    <x v="2"/>
    <x v="5"/>
    <n v="1810716794"/>
    <n v="91.749102583075114"/>
    <s v="Total"/>
  </r>
  <r>
    <s v="Paulínia - SP"/>
    <s v="Importação"/>
    <x v="2"/>
    <x v="6"/>
    <n v="162835800"/>
    <n v="8.2508974169248823"/>
    <s v="Total"/>
  </r>
  <r>
    <s v="Paulínia - SP"/>
    <s v="Importação"/>
    <x v="2"/>
    <x v="7"/>
    <n v="1973552594"/>
    <n v="100"/>
    <s v="Total"/>
  </r>
  <r>
    <s v="Paulínia - SP"/>
    <s v="Importação"/>
    <x v="3"/>
    <x v="0"/>
    <n v="917456005"/>
    <n v="43.654429768448907"/>
    <s v="Top 5"/>
  </r>
  <r>
    <s v="Paulínia - SP"/>
    <s v="Importação"/>
    <x v="3"/>
    <x v="1"/>
    <n v="744543072"/>
    <n v="35.426879402472487"/>
    <s v="Top 5"/>
  </r>
  <r>
    <s v="Paulínia - SP"/>
    <s v="Importação"/>
    <x v="3"/>
    <x v="2"/>
    <n v="125867385"/>
    <n v="5.9890271453624839"/>
    <s v="Top 5"/>
  </r>
  <r>
    <s v="Paulínia - SP"/>
    <s v="Importação"/>
    <x v="3"/>
    <x v="4"/>
    <n v="77640356"/>
    <n v="3.6942866466925248"/>
    <s v="Top 5"/>
  </r>
  <r>
    <s v="Paulínia - SP"/>
    <s v="Importação"/>
    <x v="3"/>
    <x v="8"/>
    <n v="51458738"/>
    <n v="2.448511810649725"/>
    <s v="Top 5"/>
  </r>
  <r>
    <s v="Paulínia - SP"/>
    <s v="Importação"/>
    <x v="3"/>
    <x v="5"/>
    <n v="1916965556"/>
    <n v="91.213134773626123"/>
    <s v="Total"/>
  </r>
  <r>
    <s v="Paulínia - SP"/>
    <s v="Importação"/>
    <x v="3"/>
    <x v="6"/>
    <n v="184667680"/>
    <n v="8.7868652263738767"/>
    <s v="Total"/>
  </r>
  <r>
    <s v="Paulínia - SP"/>
    <s v="Importação"/>
    <x v="3"/>
    <x v="7"/>
    <n v="2101633236"/>
    <n v="100"/>
    <s v="Total"/>
  </r>
  <r>
    <s v="Paulínia - SP"/>
    <s v="Importação"/>
    <x v="4"/>
    <x v="0"/>
    <n v="1000933219"/>
    <n v="43.223959539142562"/>
    <s v="Top 5"/>
  </r>
  <r>
    <s v="Paulínia - SP"/>
    <s v="Importação"/>
    <x v="4"/>
    <x v="1"/>
    <n v="848165625"/>
    <n v="36.626895742473671"/>
    <s v="Top 5"/>
  </r>
  <r>
    <s v="Paulínia - SP"/>
    <s v="Importação"/>
    <x v="4"/>
    <x v="2"/>
    <n v="140489214"/>
    <n v="6.0668384127452377"/>
    <s v="Top 5"/>
  </r>
  <r>
    <s v="Paulínia - SP"/>
    <s v="Importação"/>
    <x v="4"/>
    <x v="4"/>
    <n v="89052315"/>
    <n v="3.8456048688968321"/>
    <s v="Top 5"/>
  </r>
  <r>
    <s v="Paulínia - SP"/>
    <s v="Importação"/>
    <x v="4"/>
    <x v="9"/>
    <n v="57728748"/>
    <n v="2.49293861012056"/>
    <s v="Top 5"/>
  </r>
  <r>
    <s v="Paulínia - SP"/>
    <s v="Importação"/>
    <x v="4"/>
    <x v="5"/>
    <n v="2136369121"/>
    <n v="92.256237173378864"/>
    <s v="Total"/>
  </r>
  <r>
    <s v="Paulínia - SP"/>
    <s v="Importação"/>
    <x v="4"/>
    <x v="6"/>
    <n v="179321597"/>
    <n v="7.7437628266211327"/>
    <s v="Total"/>
  </r>
  <r>
    <s v="Paulínia - SP"/>
    <s v="Importação"/>
    <x v="4"/>
    <x v="7"/>
    <n v="2315690718"/>
    <n v="100"/>
    <s v="Total"/>
  </r>
  <r>
    <s v="Paulínia - SP"/>
    <s v="Importação"/>
    <x v="5"/>
    <x v="0"/>
    <n v="1202953004"/>
    <n v="38.347477018199562"/>
    <s v="Top 5"/>
  </r>
  <r>
    <s v="Paulínia - SP"/>
    <s v="Importação"/>
    <x v="5"/>
    <x v="1"/>
    <n v="1125971969"/>
    <n v="35.893492148729358"/>
    <s v="Top 5"/>
  </r>
  <r>
    <s v="Paulínia - SP"/>
    <s v="Importação"/>
    <x v="5"/>
    <x v="4"/>
    <n v="173579818"/>
    <n v="5.5333400884697088"/>
    <s v="Top 5"/>
  </r>
  <r>
    <s v="Paulínia - SP"/>
    <s v="Importação"/>
    <x v="5"/>
    <x v="10"/>
    <n v="154263395"/>
    <n v="4.9175753124533026"/>
    <s v="Top 5"/>
  </r>
  <r>
    <s v="Paulínia - SP"/>
    <s v="Importação"/>
    <x v="5"/>
    <x v="9"/>
    <n v="91897043"/>
    <n v="2.9294741629682122"/>
    <s v="Top 5"/>
  </r>
  <r>
    <s v="Paulínia - SP"/>
    <s v="Importação"/>
    <x v="5"/>
    <x v="5"/>
    <n v="2748665229"/>
    <n v="87.621358730820148"/>
    <s v="Total"/>
  </r>
  <r>
    <s v="Paulínia - SP"/>
    <s v="Importação"/>
    <x v="5"/>
    <x v="6"/>
    <n v="388315604"/>
    <n v="12.378641269179861"/>
    <s v="Total"/>
  </r>
  <r>
    <s v="Paulínia - SP"/>
    <s v="Importação"/>
    <x v="5"/>
    <x v="7"/>
    <n v="3136980833"/>
    <n v="100"/>
    <s v="Total"/>
  </r>
  <r>
    <s v="Paulínia - SP"/>
    <s v="Importação"/>
    <x v="6"/>
    <x v="1"/>
    <n v="1208605137"/>
    <n v="36.018105463530979"/>
    <s v="Top 5"/>
  </r>
  <r>
    <s v="Paulínia - SP"/>
    <s v="Importação"/>
    <x v="6"/>
    <x v="0"/>
    <n v="1085720566"/>
    <n v="32.355975208892851"/>
    <s v="Top 5"/>
  </r>
  <r>
    <s v="Paulínia - SP"/>
    <s v="Importação"/>
    <x v="6"/>
    <x v="10"/>
    <n v="316214318"/>
    <n v="9.4236242310481941"/>
    <s v="Top 5"/>
  </r>
  <r>
    <s v="Paulínia - SP"/>
    <s v="Importação"/>
    <x v="6"/>
    <x v="4"/>
    <n v="196466234"/>
    <n v="5.8549656290553704"/>
    <s v="Top 5"/>
  </r>
  <r>
    <s v="Paulínia - SP"/>
    <s v="Importação"/>
    <x v="6"/>
    <x v="9"/>
    <n v="98371566"/>
    <n v="2.9316087863034608"/>
    <s v="Top 5"/>
  </r>
  <r>
    <s v="Paulínia - SP"/>
    <s v="Importação"/>
    <x v="6"/>
    <x v="5"/>
    <n v="2905377821"/>
    <n v="86.584279318830852"/>
    <s v="Total"/>
  </r>
  <r>
    <s v="Paulínia - SP"/>
    <s v="Importação"/>
    <x v="6"/>
    <x v="6"/>
    <n v="450171066"/>
    <n v="13.415720681169139"/>
    <s v="Total"/>
  </r>
  <r>
    <s v="Paulínia - SP"/>
    <s v="Importação"/>
    <x v="6"/>
    <x v="7"/>
    <n v="3355548887"/>
    <n v="100"/>
    <s v="Total"/>
  </r>
  <r>
    <s v="Paulínia - SP"/>
    <s v="Importação"/>
    <x v="7"/>
    <x v="1"/>
    <n v="1204273966"/>
    <n v="37.993776454592521"/>
    <s v="Top 5"/>
  </r>
  <r>
    <s v="Paulínia - SP"/>
    <s v="Importação"/>
    <x v="7"/>
    <x v="0"/>
    <n v="880309029"/>
    <n v="27.772969775205951"/>
    <s v="Top 5"/>
  </r>
  <r>
    <s v="Paulínia - SP"/>
    <s v="Importação"/>
    <x v="7"/>
    <x v="10"/>
    <n v="363283380"/>
    <n v="11.4612687138242"/>
    <s v="Top 5"/>
  </r>
  <r>
    <s v="Paulínia - SP"/>
    <s v="Importação"/>
    <x v="7"/>
    <x v="4"/>
    <n v="196172525"/>
    <n v="6.1890693245983206"/>
    <s v="Top 5"/>
  </r>
  <r>
    <s v="Paulínia - SP"/>
    <s v="Importação"/>
    <x v="7"/>
    <x v="11"/>
    <n v="140972874"/>
    <n v="4.447569250963479"/>
    <s v="Top 5"/>
  </r>
  <r>
    <s v="Paulínia - SP"/>
    <s v="Importação"/>
    <x v="7"/>
    <x v="5"/>
    <n v="2785011774"/>
    <n v="87.864653519184472"/>
    <s v="Total"/>
  </r>
  <r>
    <s v="Paulínia - SP"/>
    <s v="Importação"/>
    <x v="7"/>
    <x v="6"/>
    <n v="384649361"/>
    <n v="12.13534648081553"/>
    <s v="Total"/>
  </r>
  <r>
    <s v="Paulínia - SP"/>
    <s v="Importação"/>
    <x v="7"/>
    <x v="7"/>
    <n v="3169661135"/>
    <n v="100"/>
    <s v="Total"/>
  </r>
  <r>
    <s v="Paulínia - SP"/>
    <s v="Importação"/>
    <x v="8"/>
    <x v="0"/>
    <n v="978699278"/>
    <n v="35.101697396319153"/>
    <s v="Top 5"/>
  </r>
  <r>
    <s v="Paulínia - SP"/>
    <s v="Importação"/>
    <x v="8"/>
    <x v="1"/>
    <n v="903453336"/>
    <n v="32.402951881984578"/>
    <s v="Top 5"/>
  </r>
  <r>
    <s v="Paulínia - SP"/>
    <s v="Importação"/>
    <x v="8"/>
    <x v="10"/>
    <n v="300513791"/>
    <n v="10.7781260211604"/>
    <s v="Top 5"/>
  </r>
  <r>
    <s v="Paulínia - SP"/>
    <s v="Importação"/>
    <x v="8"/>
    <x v="4"/>
    <n v="152885578"/>
    <n v="5.4833424483402426"/>
    <s v="Top 5"/>
  </r>
  <r>
    <s v="Paulínia - SP"/>
    <s v="Importação"/>
    <x v="8"/>
    <x v="11"/>
    <n v="117001040"/>
    <n v="4.1963197413686384"/>
    <s v="Top 5"/>
  </r>
  <r>
    <s v="Paulínia - SP"/>
    <s v="Importação"/>
    <x v="8"/>
    <x v="5"/>
    <n v="2452553023"/>
    <n v="87.962437489173013"/>
    <s v="Total"/>
  </r>
  <r>
    <s v="Paulínia - SP"/>
    <s v="Importação"/>
    <x v="8"/>
    <x v="6"/>
    <n v="335629175"/>
    <n v="12.037562510826991"/>
    <s v="Total"/>
  </r>
  <r>
    <s v="Paulínia - SP"/>
    <s v="Importação"/>
    <x v="8"/>
    <x v="7"/>
    <n v="2788182198"/>
    <n v="100"/>
    <s v="Total"/>
  </r>
  <r>
    <s v="Paulínia - SP"/>
    <s v="Importação"/>
    <x v="9"/>
    <x v="1"/>
    <n v="1009427366"/>
    <n v="33.920491335622103"/>
    <s v="Top 5"/>
  </r>
  <r>
    <s v="Paulínia - SP"/>
    <s v="Importação"/>
    <x v="9"/>
    <x v="0"/>
    <n v="933910255"/>
    <n v="31.38283722038117"/>
    <s v="Top 5"/>
  </r>
  <r>
    <s v="Paulínia - SP"/>
    <s v="Importação"/>
    <x v="9"/>
    <x v="10"/>
    <n v="313351745"/>
    <n v="10.52977708876041"/>
    <s v="Top 5"/>
  </r>
  <r>
    <s v="Paulínia - SP"/>
    <s v="Importação"/>
    <x v="9"/>
    <x v="4"/>
    <n v="193447425"/>
    <n v="6.500548652265195"/>
    <s v="Top 5"/>
  </r>
  <r>
    <s v="Paulínia - SP"/>
    <s v="Importação"/>
    <x v="9"/>
    <x v="11"/>
    <n v="131808398"/>
    <n v="4.4292494664952731"/>
    <s v="Top 5"/>
  </r>
  <r>
    <s v="Paulínia - SP"/>
    <s v="Importação"/>
    <x v="9"/>
    <x v="5"/>
    <n v="2581945189"/>
    <n v="86.762903763524136"/>
    <s v="Total"/>
  </r>
  <r>
    <s v="Paulínia - SP"/>
    <s v="Importação"/>
    <x v="9"/>
    <x v="6"/>
    <n v="393917855"/>
    <n v="13.23709623647586"/>
    <s v="Total"/>
  </r>
  <r>
    <s v="Paulínia - SP"/>
    <s v="Importação"/>
    <x v="9"/>
    <x v="7"/>
    <n v="2975863044"/>
    <n v="100"/>
    <s v="Total"/>
  </r>
  <r>
    <s v="Paulínia - SP"/>
    <s v="Importação"/>
    <x v="10"/>
    <x v="0"/>
    <n v="1065470873"/>
    <n v="34.585504141455978"/>
    <s v="Top 5"/>
  </r>
  <r>
    <s v="Paulínia - SP"/>
    <s v="Importação"/>
    <x v="10"/>
    <x v="1"/>
    <n v="923925116"/>
    <n v="29.990886410475522"/>
    <s v="Top 5"/>
  </r>
  <r>
    <s v="Paulínia - SP"/>
    <s v="Importação"/>
    <x v="10"/>
    <x v="10"/>
    <n v="337824299"/>
    <n v="10.9658780809759"/>
    <s v="Top 5"/>
  </r>
  <r>
    <s v="Paulínia - SP"/>
    <s v="Importação"/>
    <x v="10"/>
    <x v="4"/>
    <n v="204693619"/>
    <n v="6.6444162736432792"/>
    <s v="Top 5"/>
  </r>
  <r>
    <s v="Paulínia - SP"/>
    <s v="Importação"/>
    <x v="10"/>
    <x v="11"/>
    <n v="143851645"/>
    <n v="4.669467547145941"/>
    <s v="Top 5"/>
  </r>
  <r>
    <s v="Paulínia - SP"/>
    <s v="Importação"/>
    <x v="10"/>
    <x v="5"/>
    <n v="2675765552"/>
    <n v="86.856152453696609"/>
    <s v="Total"/>
  </r>
  <r>
    <s v="Paulínia - SP"/>
    <s v="Importação"/>
    <x v="10"/>
    <x v="6"/>
    <n v="404920705"/>
    <n v="13.14384754630338"/>
    <s v="Total"/>
  </r>
  <r>
    <s v="Paulínia - SP"/>
    <s v="Importação"/>
    <x v="10"/>
    <x v="7"/>
    <n v="3080686257"/>
    <n v="100"/>
    <s v="Total"/>
  </r>
  <r>
    <s v="Paulínia - SP"/>
    <s v="Importação"/>
    <x v="11"/>
    <x v="0"/>
    <n v="1495905091"/>
    <n v="37.866726272472832"/>
    <s v="Top 5"/>
  </r>
  <r>
    <s v="Paulínia - SP"/>
    <s v="Importação"/>
    <x v="11"/>
    <x v="1"/>
    <n v="1458298744"/>
    <n v="36.914774670379757"/>
    <s v="Top 5"/>
  </r>
  <r>
    <s v="Paulínia - SP"/>
    <s v="Importação"/>
    <x v="11"/>
    <x v="10"/>
    <n v="291061876"/>
    <n v="7.3678206278959886"/>
    <s v="Top 5"/>
  </r>
  <r>
    <s v="Paulínia - SP"/>
    <s v="Importação"/>
    <x v="11"/>
    <x v="4"/>
    <n v="185142929"/>
    <n v="4.6866319634223848"/>
    <s v="Top 5"/>
  </r>
  <r>
    <s v="Paulínia - SP"/>
    <s v="Importação"/>
    <x v="11"/>
    <x v="9"/>
    <n v="112935745"/>
    <n v="2.858809003339899"/>
    <s v="Top 5"/>
  </r>
  <r>
    <s v="Paulínia - SP"/>
    <s v="Importação"/>
    <x v="11"/>
    <x v="5"/>
    <n v="3543344385"/>
    <n v="89.694762537510854"/>
    <s v="Total"/>
  </r>
  <r>
    <s v="Paulínia - SP"/>
    <s v="Importação"/>
    <x v="11"/>
    <x v="6"/>
    <n v="407102982"/>
    <n v="10.30523746248914"/>
    <s v="Total"/>
  </r>
  <r>
    <s v="Paulínia - SP"/>
    <s v="Importação"/>
    <x v="11"/>
    <x v="7"/>
    <n v="3950447367"/>
    <n v="100"/>
    <s v="Total"/>
  </r>
  <r>
    <s v="Paulínia - SP"/>
    <s v="Importação"/>
    <x v="12"/>
    <x v="0"/>
    <n v="1543377868"/>
    <n v="41.418637965952477"/>
    <s v="Top 5"/>
  </r>
  <r>
    <s v="Paulínia - SP"/>
    <s v="Importação"/>
    <x v="12"/>
    <x v="1"/>
    <n v="1468836241"/>
    <n v="39.418212324170447"/>
    <s v="Top 5"/>
  </r>
  <r>
    <s v="Paulínia - SP"/>
    <s v="Importação"/>
    <x v="12"/>
    <x v="10"/>
    <n v="184054693"/>
    <n v="4.9393572717096443"/>
    <s v="Top 5"/>
  </r>
  <r>
    <s v="Paulínia - SP"/>
    <s v="Importação"/>
    <x v="12"/>
    <x v="4"/>
    <n v="149325525"/>
    <n v="4.0073529543775894"/>
    <s v="Top 5"/>
  </r>
  <r>
    <s v="Paulínia - SP"/>
    <s v="Importação"/>
    <x v="12"/>
    <x v="9"/>
    <n v="101297869"/>
    <n v="2.7184656783179171"/>
    <s v="Top 5"/>
  </r>
  <r>
    <s v="Paulínia - SP"/>
    <s v="Importação"/>
    <x v="12"/>
    <x v="5"/>
    <n v="3446892196"/>
    <n v="92.502026194528085"/>
    <s v="Total"/>
  </r>
  <r>
    <s v="Paulínia - SP"/>
    <s v="Importação"/>
    <x v="12"/>
    <x v="6"/>
    <n v="279396122"/>
    <n v="7.4979738054719149"/>
    <s v="Total"/>
  </r>
  <r>
    <s v="Paulínia - SP"/>
    <s v="Importação"/>
    <x v="12"/>
    <x v="7"/>
    <n v="3726288318"/>
    <n v="100"/>
    <s v="Total"/>
  </r>
  <r>
    <s v="Paulínia - SP"/>
    <s v="Importação"/>
    <x v="13"/>
    <x v="0"/>
    <n v="1904656310"/>
    <n v="43.189192966438839"/>
    <s v="Top 5"/>
  </r>
  <r>
    <s v="Paulínia - SP"/>
    <s v="Importação"/>
    <x v="13"/>
    <x v="1"/>
    <n v="1516261691"/>
    <n v="34.382118399207613"/>
    <s v="Top 5"/>
  </r>
  <r>
    <s v="Paulínia - SP"/>
    <s v="Importação"/>
    <x v="13"/>
    <x v="9"/>
    <n v="219622158"/>
    <n v="4.9800605556850934"/>
    <s v="Top 5"/>
  </r>
  <r>
    <s v="Paulínia - SP"/>
    <s v="Importação"/>
    <x v="13"/>
    <x v="10"/>
    <n v="209245105"/>
    <n v="4.744754825151503"/>
    <s v="Top 5"/>
  </r>
  <r>
    <s v="Paulínia - SP"/>
    <s v="Importação"/>
    <x v="13"/>
    <x v="4"/>
    <n v="173767008"/>
    <n v="3.9402682784867999"/>
    <s v="Top 5"/>
  </r>
  <r>
    <s v="Paulínia - SP"/>
    <s v="Importação"/>
    <x v="13"/>
    <x v="5"/>
    <n v="4023552272"/>
    <n v="91.236395024969838"/>
    <s v="Total"/>
  </r>
  <r>
    <s v="Paulínia - SP"/>
    <s v="Importação"/>
    <x v="13"/>
    <x v="6"/>
    <n v="386477597"/>
    <n v="8.7636049750301588"/>
    <s v="Total"/>
  </r>
  <r>
    <s v="Paulínia - SP"/>
    <s v="Importação"/>
    <x v="13"/>
    <x v="7"/>
    <n v="4410029869"/>
    <n v="100"/>
    <s v="Total"/>
  </r>
  <r>
    <s v="Paulínia - SP"/>
    <s v="Importação"/>
    <x v="14"/>
    <x v="0"/>
    <n v="3473915818"/>
    <n v="53.221446642229509"/>
    <s v="Top 5"/>
  </r>
  <r>
    <s v="Paulínia - SP"/>
    <s v="Importação"/>
    <x v="14"/>
    <x v="1"/>
    <n v="2141416741"/>
    <n v="32.80715561078933"/>
    <s v="Top 5"/>
  </r>
  <r>
    <s v="Paulínia - SP"/>
    <s v="Importação"/>
    <x v="14"/>
    <x v="4"/>
    <n v="219318260"/>
    <n v="3.3600224311067679"/>
    <s v="Top 5"/>
  </r>
  <r>
    <s v="Paulínia - SP"/>
    <s v="Importação"/>
    <x v="14"/>
    <x v="9"/>
    <n v="151607262"/>
    <n v="2.3226693529242879"/>
    <s v="Top 5"/>
  </r>
  <r>
    <s v="Paulínia - SP"/>
    <s v="Importação"/>
    <x v="14"/>
    <x v="2"/>
    <n v="115953192"/>
    <n v="1.7764381592231759"/>
    <s v="Top 5"/>
  </r>
  <r>
    <s v="Paulínia - SP"/>
    <s v="Importação"/>
    <x v="14"/>
    <x v="5"/>
    <n v="6102211273"/>
    <n v="93.487732196273072"/>
    <s v="Total"/>
  </r>
  <r>
    <s v="Paulínia - SP"/>
    <s v="Importação"/>
    <x v="14"/>
    <x v="6"/>
    <n v="425074318"/>
    <n v="6.512267803726929"/>
    <s v="Total"/>
  </r>
  <r>
    <s v="Paulínia - SP"/>
    <s v="Importação"/>
    <x v="14"/>
    <x v="7"/>
    <n v="6527285591"/>
    <n v="100"/>
    <s v="Total"/>
  </r>
  <r>
    <s v="Paulínia - SP"/>
    <s v="Importação"/>
    <x v="15"/>
    <x v="0"/>
    <n v="1792902033"/>
    <n v="44.388151671698687"/>
    <s v="Top 5"/>
  </r>
  <r>
    <s v="Paulínia - SP"/>
    <s v="Importação"/>
    <x v="15"/>
    <x v="1"/>
    <n v="1391340847"/>
    <n v="34.446415591557162"/>
    <s v="Top 5"/>
  </r>
  <r>
    <s v="Paulínia - SP"/>
    <s v="Importação"/>
    <x v="15"/>
    <x v="4"/>
    <n v="176036786"/>
    <n v="4.3582679995579907"/>
    <s v="Top 5"/>
  </r>
  <r>
    <s v="Paulínia - SP"/>
    <s v="Importação"/>
    <x v="15"/>
    <x v="2"/>
    <n v="125921431"/>
    <n v="3.117526487820844"/>
    <s v="Top 5"/>
  </r>
  <r>
    <s v="Paulínia - SP"/>
    <s v="Importação"/>
    <x v="15"/>
    <x v="12"/>
    <n v="121463976"/>
    <n v="3.0071701019347161"/>
    <s v="Top 5"/>
  </r>
  <r>
    <s v="Paulínia - SP"/>
    <s v="Importação"/>
    <x v="15"/>
    <x v="5"/>
    <n v="3607665073"/>
    <n v="89.317531852569402"/>
    <s v="Total"/>
  </r>
  <r>
    <s v="Paulínia - SP"/>
    <s v="Importação"/>
    <x v="15"/>
    <x v="6"/>
    <n v="431480432"/>
    <n v="10.682468147430599"/>
    <s v="Total"/>
  </r>
  <r>
    <s v="Paulínia - SP"/>
    <s v="Importação"/>
    <x v="15"/>
    <x v="7"/>
    <n v="4039145505"/>
    <n v="100"/>
    <s v="Total"/>
  </r>
  <r>
    <s v="Paulínia - SP"/>
    <s v="Importação"/>
    <x v="16"/>
    <x v="0"/>
    <n v="1980470677"/>
    <n v="43.964252122004623"/>
    <s v="Top 5"/>
  </r>
  <r>
    <s v="Paulínia - SP"/>
    <s v="Importação"/>
    <x v="16"/>
    <x v="1"/>
    <n v="1656713305"/>
    <n v="36.777197602961287"/>
    <s v="Top 5"/>
  </r>
  <r>
    <s v="Paulínia - SP"/>
    <s v="Importação"/>
    <x v="16"/>
    <x v="4"/>
    <n v="241958776"/>
    <n v="5.3712164258393811"/>
    <s v="Top 5"/>
  </r>
  <r>
    <s v="Paulínia - SP"/>
    <s v="Importação"/>
    <x v="16"/>
    <x v="10"/>
    <n v="101162240"/>
    <n v="2.24568951019452"/>
    <s v="Top 5"/>
  </r>
  <r>
    <s v="Paulínia - SP"/>
    <s v="Importação"/>
    <x v="16"/>
    <x v="11"/>
    <n v="85628424"/>
    <n v="1.9008560264312919"/>
    <s v="Top 5"/>
  </r>
  <r>
    <s v="Paulínia - SP"/>
    <s v="Importação"/>
    <x v="16"/>
    <x v="5"/>
    <n v="4065933422"/>
    <n v="90.259211687431105"/>
    <s v="Total"/>
  </r>
  <r>
    <s v="Paulínia - SP"/>
    <s v="Importação"/>
    <x v="16"/>
    <x v="6"/>
    <n v="438796174"/>
    <n v="9.7407883125688954"/>
    <s v="Total"/>
  </r>
  <r>
    <s v="Paulínia - SP"/>
    <s v="Importação"/>
    <x v="16"/>
    <x v="7"/>
    <n v="4504729596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66BE6-33B5-4904-93FC-8A1B30FEA8A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6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3">
        <item x="9"/>
        <item x="11"/>
        <item x="3"/>
        <item x="0"/>
        <item x="4"/>
        <item x="1"/>
        <item x="8"/>
        <item x="2"/>
        <item x="10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2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8">
      <pivotArea field="2" type="button" dataOnly="0" labelOnly="1" outline="0" axis="axisCol" fieldPosition="0"/>
    </format>
    <format dxfId="2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5">
      <pivotArea type="topRight" dataOnly="0" labelOnly="1" outline="0" fieldPosition="0"/>
    </format>
    <format dxfId="2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1">
      <pivotArea field="-2" type="button" dataOnly="0" labelOnly="1" outline="0" axis="axisCol" fieldPosition="1"/>
    </format>
    <format dxfId="2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1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3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AE539-99C5-4065-B369-95589218A382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7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4">
        <item x="3"/>
        <item x="12"/>
        <item x="0"/>
        <item x="8"/>
        <item x="2"/>
        <item x="1"/>
        <item x="9"/>
        <item x="4"/>
        <item x="11"/>
        <item x="10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2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8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7">
      <pivotArea field="2" type="button" dataOnly="0" labelOnly="1" outline="0" axis="axisCol" fieldPosition="0"/>
    </format>
    <format dxfId="16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0">
      <pivotArea field="-2" type="button" dataOnly="0" labelOnly="1" outline="0" axis="axisCol" fieldPosition="1"/>
    </format>
    <format dxfId="9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7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4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29</v>
      </c>
      <c r="E2">
        <v>218235938</v>
      </c>
      <c r="F2">
        <v>37.482573366225019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38</v>
      </c>
      <c r="E3">
        <v>165388256</v>
      </c>
      <c r="F3">
        <v>28.40585054983935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40</v>
      </c>
      <c r="E4">
        <v>60827548</v>
      </c>
      <c r="F4">
        <v>10.447284949913129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27</v>
      </c>
      <c r="E5">
        <v>50556796</v>
      </c>
      <c r="F5">
        <v>8.6832573617241344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30</v>
      </c>
      <c r="E6">
        <v>30767303</v>
      </c>
      <c r="F6">
        <v>5.2843619733170391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525775841</v>
      </c>
      <c r="F7">
        <v>90.303328201018658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56457230</v>
      </c>
      <c r="F8">
        <v>9.69667179898134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582233071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29</v>
      </c>
      <c r="E10">
        <v>186547437</v>
      </c>
      <c r="F10">
        <v>37.047260812220337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38</v>
      </c>
      <c r="E11">
        <v>124429074</v>
      </c>
      <c r="F11">
        <v>24.710906948033081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40</v>
      </c>
      <c r="E12">
        <v>51212800</v>
      </c>
      <c r="F12">
        <v>10.17057103027407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27</v>
      </c>
      <c r="E13">
        <v>38858836</v>
      </c>
      <c r="F13">
        <v>7.7171439892325973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30</v>
      </c>
      <c r="E14">
        <v>34314766</v>
      </c>
      <c r="F14">
        <v>6.8147175118375429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435362913</v>
      </c>
      <c r="F15">
        <v>86.460600291597629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68176169</v>
      </c>
      <c r="F16">
        <v>13.539399708402369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503539082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29</v>
      </c>
      <c r="E18">
        <v>210562113</v>
      </c>
      <c r="F18">
        <v>32.624332786720103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38</v>
      </c>
      <c r="E19">
        <v>180930748</v>
      </c>
      <c r="F19">
        <v>28.033271750565081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40</v>
      </c>
      <c r="E20">
        <v>65308981</v>
      </c>
      <c r="F20">
        <v>10.11892357912261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30</v>
      </c>
      <c r="E21">
        <v>63520462</v>
      </c>
      <c r="F21">
        <v>9.841811812812729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39</v>
      </c>
      <c r="E22">
        <v>46528847</v>
      </c>
      <c r="F22">
        <v>7.2091439769621974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566851151</v>
      </c>
      <c r="F23">
        <v>87.827483906182735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78563161</v>
      </c>
      <c r="F24">
        <v>12.17251609381727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645414312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29</v>
      </c>
      <c r="E26">
        <v>256046713</v>
      </c>
      <c r="F26">
        <v>30.904632063580301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38</v>
      </c>
      <c r="E27">
        <v>201018783</v>
      </c>
      <c r="F27">
        <v>24.2628052268091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39</v>
      </c>
      <c r="E28">
        <v>123177464</v>
      </c>
      <c r="F28">
        <v>14.86742070945823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40</v>
      </c>
      <c r="E29">
        <v>75397837</v>
      </c>
      <c r="F29">
        <v>9.1004582076974412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30</v>
      </c>
      <c r="E30">
        <v>65897962</v>
      </c>
      <c r="F30">
        <v>7.9538309454876543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721538759</v>
      </c>
      <c r="F31">
        <v>87.089147153032727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106967183</v>
      </c>
      <c r="F32">
        <v>12.91085284696727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828505942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29</v>
      </c>
      <c r="E34">
        <v>187309616</v>
      </c>
      <c r="F34">
        <v>24.711899800224511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38</v>
      </c>
      <c r="E35">
        <v>179894082</v>
      </c>
      <c r="F35">
        <v>23.733562771477629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39</v>
      </c>
      <c r="E36">
        <v>109487386</v>
      </c>
      <c r="F36">
        <v>14.444753932016519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27</v>
      </c>
      <c r="E37">
        <v>84615423</v>
      </c>
      <c r="F37">
        <v>11.163376976490159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40</v>
      </c>
      <c r="E38">
        <v>82529521</v>
      </c>
      <c r="F38">
        <v>10.88818234250464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643836028</v>
      </c>
      <c r="F39">
        <v>84.941775822713453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114137327</v>
      </c>
      <c r="F40">
        <v>15.058224177286551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757973355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29</v>
      </c>
      <c r="E42">
        <v>169455415</v>
      </c>
      <c r="F42">
        <v>24.884731753858659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38</v>
      </c>
      <c r="E43">
        <v>127231009</v>
      </c>
      <c r="F43">
        <v>18.684026885406858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39</v>
      </c>
      <c r="E44">
        <v>103844287</v>
      </c>
      <c r="F44">
        <v>15.24965859701628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40</v>
      </c>
      <c r="E45">
        <v>66340317</v>
      </c>
      <c r="F45">
        <v>9.7421554395942405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30</v>
      </c>
      <c r="E46">
        <v>64280863</v>
      </c>
      <c r="F46">
        <v>9.4397221396645143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531151891</v>
      </c>
      <c r="F47">
        <v>78.00029481554057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149809498</v>
      </c>
      <c r="F48">
        <v>21.99970518445944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680961389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29</v>
      </c>
      <c r="E50">
        <v>149732042</v>
      </c>
      <c r="F50">
        <v>19.21882654217983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39</v>
      </c>
      <c r="E51">
        <v>146024419</v>
      </c>
      <c r="F51">
        <v>18.742935327654109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38</v>
      </c>
      <c r="E52">
        <v>144376571</v>
      </c>
      <c r="F52">
        <v>18.531426124567989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30</v>
      </c>
      <c r="E53">
        <v>99001310</v>
      </c>
      <c r="F53">
        <v>12.707293501938439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40</v>
      </c>
      <c r="E54">
        <v>73938946</v>
      </c>
      <c r="F54">
        <v>9.4904187434083145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613073288</v>
      </c>
      <c r="F55">
        <v>78.690900239748672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166017161</v>
      </c>
      <c r="F56">
        <v>21.309099760251328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779090449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38</v>
      </c>
      <c r="E58">
        <v>119964846</v>
      </c>
      <c r="F58">
        <v>18.79222307901405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29</v>
      </c>
      <c r="E59">
        <v>115651933</v>
      </c>
      <c r="F59">
        <v>18.116614966147552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39</v>
      </c>
      <c r="E60">
        <v>92213330</v>
      </c>
      <c r="F60">
        <v>14.44501056766862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30</v>
      </c>
      <c r="E61">
        <v>85976029</v>
      </c>
      <c r="F61">
        <v>13.46795140649604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40</v>
      </c>
      <c r="E62">
        <v>56356186</v>
      </c>
      <c r="F62">
        <v>8.8280696762984086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470162324</v>
      </c>
      <c r="F63">
        <v>73.649869695624659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168212633</v>
      </c>
      <c r="F64">
        <v>26.35013030437533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638374957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39</v>
      </c>
      <c r="E66">
        <v>206244866</v>
      </c>
      <c r="F66">
        <v>27.693064416318471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30</v>
      </c>
      <c r="E67">
        <v>130024141</v>
      </c>
      <c r="F67">
        <v>17.45869840168276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38</v>
      </c>
      <c r="E68">
        <v>121803564</v>
      </c>
      <c r="F68">
        <v>16.354898957771731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29</v>
      </c>
      <c r="E69">
        <v>101923232</v>
      </c>
      <c r="F69">
        <v>13.68551219740603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40</v>
      </c>
      <c r="E70">
        <v>45127566</v>
      </c>
      <c r="F70">
        <v>6.0594021874448174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605123369</v>
      </c>
      <c r="F71">
        <v>81.251576160623799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139629407</v>
      </c>
      <c r="F72">
        <v>18.748423839376201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744752776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39</v>
      </c>
      <c r="E74">
        <v>371039344</v>
      </c>
      <c r="F74">
        <v>38.943358187602797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30</v>
      </c>
      <c r="E75">
        <v>130346469</v>
      </c>
      <c r="F75">
        <v>13.6808381990786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38</v>
      </c>
      <c r="E76">
        <v>127143030</v>
      </c>
      <c r="F76">
        <v>13.34461328270117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29</v>
      </c>
      <c r="E77">
        <v>114014731</v>
      </c>
      <c r="F77">
        <v>11.96669997345667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12</v>
      </c>
      <c r="E78">
        <v>49604474</v>
      </c>
      <c r="F78">
        <v>5.2063610771412696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792148048</v>
      </c>
      <c r="F79">
        <v>83.141870719980503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160618640</v>
      </c>
      <c r="F80">
        <v>16.858129280019501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952766688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39</v>
      </c>
      <c r="E82">
        <v>318621215</v>
      </c>
      <c r="F82">
        <v>37.481028580715147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29</v>
      </c>
      <c r="E83">
        <v>161140453</v>
      </c>
      <c r="F83">
        <v>18.955768291833259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38</v>
      </c>
      <c r="E84">
        <v>131225987</v>
      </c>
      <c r="F84">
        <v>15.436778022704971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30</v>
      </c>
      <c r="E85">
        <v>125136176</v>
      </c>
      <c r="F85">
        <v>14.72040268610928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54</v>
      </c>
      <c r="E86">
        <v>33086208</v>
      </c>
      <c r="F86">
        <v>3.8920983578431412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769210039</v>
      </c>
      <c r="F87">
        <v>90.486075939205804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80876597</v>
      </c>
      <c r="F88">
        <v>9.5139240607941993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850086636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39</v>
      </c>
      <c r="E90">
        <v>334478867</v>
      </c>
      <c r="F90">
        <v>38.10356434636541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29</v>
      </c>
      <c r="E91">
        <v>152082647</v>
      </c>
      <c r="F91">
        <v>17.325133207683571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38</v>
      </c>
      <c r="E92">
        <v>137432178</v>
      </c>
      <c r="F92">
        <v>15.65616352582343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30</v>
      </c>
      <c r="E93">
        <v>131124393</v>
      </c>
      <c r="F93">
        <v>14.93758571615111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23</v>
      </c>
      <c r="E94">
        <v>29831243</v>
      </c>
      <c r="F94">
        <v>3.398351284126309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784949328</v>
      </c>
      <c r="F95">
        <v>89.420798080149822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92865839</v>
      </c>
      <c r="F96">
        <v>10.579201919850171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877815167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39</v>
      </c>
      <c r="E98">
        <v>199509069</v>
      </c>
      <c r="F98">
        <v>29.006908909173511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29</v>
      </c>
      <c r="E99">
        <v>138524900</v>
      </c>
      <c r="F99">
        <v>20.1403333497204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38</v>
      </c>
      <c r="E100">
        <v>112369072</v>
      </c>
      <c r="F100">
        <v>16.337500104881741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30</v>
      </c>
      <c r="E101">
        <v>104563400</v>
      </c>
      <c r="F101">
        <v>15.20262228797966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23</v>
      </c>
      <c r="E102">
        <v>42827955</v>
      </c>
      <c r="F102">
        <v>6.226817636300944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597794396</v>
      </c>
      <c r="F103">
        <v>86.914182288056253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90004051</v>
      </c>
      <c r="F104">
        <v>13.08581771194374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687798447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29</v>
      </c>
      <c r="E106">
        <v>223467382</v>
      </c>
      <c r="F106">
        <v>28.091199676762511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39</v>
      </c>
      <c r="E107">
        <v>210772081</v>
      </c>
      <c r="F107">
        <v>26.495323660514181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30</v>
      </c>
      <c r="E108">
        <v>125491788</v>
      </c>
      <c r="F108">
        <v>15.775075731195299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38</v>
      </c>
      <c r="E109">
        <v>99237739</v>
      </c>
      <c r="F109">
        <v>12.474783195515499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54</v>
      </c>
      <c r="E110">
        <v>58273601</v>
      </c>
      <c r="F110">
        <v>7.325343622520208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717242591</v>
      </c>
      <c r="F111">
        <v>90.161725886507682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78264132</v>
      </c>
      <c r="F112">
        <v>9.8382741134923126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795506723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39</v>
      </c>
      <c r="E114">
        <v>276267073</v>
      </c>
      <c r="F114">
        <v>28.16708717775359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29</v>
      </c>
      <c r="E115">
        <v>241513410</v>
      </c>
      <c r="F115">
        <v>24.623742526372471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30</v>
      </c>
      <c r="E116">
        <v>165362455</v>
      </c>
      <c r="F116">
        <v>16.859695349624079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38</v>
      </c>
      <c r="E117">
        <v>124752357</v>
      </c>
      <c r="F117">
        <v>12.719251979946369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54</v>
      </c>
      <c r="E118">
        <v>64200999</v>
      </c>
      <c r="F118">
        <v>6.5456773986665846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872096294</v>
      </c>
      <c r="F119">
        <v>88.915454432363092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108718908</v>
      </c>
      <c r="F120">
        <v>11.08454556763691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980815202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39</v>
      </c>
      <c r="E122">
        <v>176519443</v>
      </c>
      <c r="F122">
        <v>20.616340597924228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30</v>
      </c>
      <c r="E123">
        <v>167857412</v>
      </c>
      <c r="F123">
        <v>19.604670844548799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29</v>
      </c>
      <c r="E124">
        <v>146288868</v>
      </c>
      <c r="F124">
        <v>17.085603019791868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27</v>
      </c>
      <c r="E125">
        <v>135274262</v>
      </c>
      <c r="F125">
        <v>15.799167571160069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38</v>
      </c>
      <c r="E126">
        <v>110551852</v>
      </c>
      <c r="F126">
        <v>12.911748393423791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736491837</v>
      </c>
      <c r="F127">
        <v>86.017530426848765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119719488</v>
      </c>
      <c r="F128">
        <v>13.98246957315123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856211325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30</v>
      </c>
      <c r="E130">
        <v>209687780</v>
      </c>
      <c r="F130">
        <v>25.971690092376299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29</v>
      </c>
      <c r="E131">
        <v>154163210</v>
      </c>
      <c r="F131">
        <v>19.094479963333711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39</v>
      </c>
      <c r="E132">
        <v>147030547</v>
      </c>
      <c r="F132">
        <v>18.21103643138655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38</v>
      </c>
      <c r="E133">
        <v>129653401</v>
      </c>
      <c r="F133">
        <v>16.058722879295079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27</v>
      </c>
      <c r="E134">
        <v>49087124</v>
      </c>
      <c r="F134">
        <v>6.0798753845076101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689622062</v>
      </c>
      <c r="F135">
        <v>85.415804750899255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117748499</v>
      </c>
      <c r="F136">
        <v>14.584195249100739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807370561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CDD2-5808-4F40-BF91-F9D16A509C56}">
  <dimension ref="A3:M16"/>
  <sheetViews>
    <sheetView tabSelected="1" workbookViewId="0">
      <selection activeCell="D25" sqref="D25"/>
    </sheetView>
  </sheetViews>
  <sheetFormatPr defaultRowHeight="14.4" x14ac:dyDescent="0.3"/>
  <cols>
    <col min="1" max="1" width="17.21875" bestFit="1" customWidth="1"/>
    <col min="2" max="2" width="18.5546875" style="5" bestFit="1" customWidth="1"/>
    <col min="3" max="3" width="17.77734375" style="7" bestFit="1" customWidth="1"/>
    <col min="4" max="4" width="18.5546875" style="5" bestFit="1" customWidth="1"/>
    <col min="5" max="5" width="17.77734375" style="7" bestFit="1" customWidth="1"/>
    <col min="6" max="6" width="18.5546875" style="5" bestFit="1" customWidth="1"/>
    <col min="7" max="7" width="17.77734375" style="7" bestFit="1" customWidth="1"/>
    <col min="8" max="8" width="18.5546875" style="5" bestFit="1" customWidth="1"/>
    <col min="9" max="9" width="17.77734375" style="7" bestFit="1" customWidth="1"/>
    <col min="10" max="10" width="18.5546875" style="5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6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5" t="s">
        <v>18</v>
      </c>
      <c r="C5" s="7" t="s">
        <v>21</v>
      </c>
      <c r="D5" s="5" t="s">
        <v>18</v>
      </c>
      <c r="E5" s="7" t="s">
        <v>21</v>
      </c>
      <c r="F5" s="5" t="s">
        <v>18</v>
      </c>
      <c r="G5" s="7" t="s">
        <v>21</v>
      </c>
      <c r="H5" s="5" t="s">
        <v>18</v>
      </c>
      <c r="I5" s="7" t="s">
        <v>21</v>
      </c>
      <c r="J5" s="5" t="s">
        <v>18</v>
      </c>
      <c r="K5" s="7" t="s">
        <v>21</v>
      </c>
    </row>
    <row r="6" spans="1:13" x14ac:dyDescent="0.3">
      <c r="A6" s="3">
        <v>23</v>
      </c>
      <c r="H6" s="5">
        <v>42827955</v>
      </c>
      <c r="I6" s="7">
        <v>6.226817636300944</v>
      </c>
      <c r="L6" s="4">
        <v>42827955</v>
      </c>
      <c r="M6" s="4">
        <v>6.226817636300944</v>
      </c>
    </row>
    <row r="7" spans="1:13" x14ac:dyDescent="0.3">
      <c r="A7" s="3">
        <v>27</v>
      </c>
      <c r="B7" s="5">
        <v>50556796</v>
      </c>
      <c r="C7" s="7">
        <v>8.6832573617241344</v>
      </c>
      <c r="D7" s="5">
        <v>84615423</v>
      </c>
      <c r="E7" s="7">
        <v>11.163376976490159</v>
      </c>
      <c r="J7" s="5">
        <v>49087124</v>
      </c>
      <c r="K7" s="7">
        <v>6.0798753845076101</v>
      </c>
      <c r="L7" s="4">
        <v>184259343</v>
      </c>
      <c r="M7" s="4">
        <v>25.926509722721903</v>
      </c>
    </row>
    <row r="8" spans="1:13" x14ac:dyDescent="0.3">
      <c r="A8" s="3">
        <v>29</v>
      </c>
      <c r="B8" s="5">
        <v>218235938</v>
      </c>
      <c r="C8" s="7">
        <v>37.482573366225019</v>
      </c>
      <c r="D8" s="5">
        <v>187309616</v>
      </c>
      <c r="E8" s="7">
        <v>24.711899800224511</v>
      </c>
      <c r="F8" s="5">
        <v>101923232</v>
      </c>
      <c r="G8" s="7">
        <v>13.68551219740603</v>
      </c>
      <c r="H8" s="5">
        <v>138524900</v>
      </c>
      <c r="I8" s="7">
        <v>20.1403333497204</v>
      </c>
      <c r="J8" s="5">
        <v>154163210</v>
      </c>
      <c r="K8" s="7">
        <v>19.094479963333711</v>
      </c>
      <c r="L8" s="4">
        <v>800156896</v>
      </c>
      <c r="M8" s="4">
        <v>115.11479867690967</v>
      </c>
    </row>
    <row r="9" spans="1:13" x14ac:dyDescent="0.3">
      <c r="A9" s="3">
        <v>30</v>
      </c>
      <c r="B9" s="5">
        <v>30767303</v>
      </c>
      <c r="C9" s="7">
        <v>5.2843619733170391</v>
      </c>
      <c r="F9" s="5">
        <v>130024141</v>
      </c>
      <c r="G9" s="7">
        <v>17.45869840168276</v>
      </c>
      <c r="H9" s="5">
        <v>104563400</v>
      </c>
      <c r="I9" s="7">
        <v>15.20262228797966</v>
      </c>
      <c r="J9" s="5">
        <v>209687780</v>
      </c>
      <c r="K9" s="7">
        <v>25.971690092376299</v>
      </c>
      <c r="L9" s="4">
        <v>475042624</v>
      </c>
      <c r="M9" s="4">
        <v>63.917372755355757</v>
      </c>
    </row>
    <row r="10" spans="1:13" x14ac:dyDescent="0.3">
      <c r="A10" s="3">
        <v>38</v>
      </c>
      <c r="B10" s="5">
        <v>165388256</v>
      </c>
      <c r="C10" s="7">
        <v>28.40585054983935</v>
      </c>
      <c r="D10" s="5">
        <v>179894082</v>
      </c>
      <c r="E10" s="7">
        <v>23.733562771477629</v>
      </c>
      <c r="F10" s="5">
        <v>121803564</v>
      </c>
      <c r="G10" s="7">
        <v>16.354898957771731</v>
      </c>
      <c r="H10" s="5">
        <v>112369072</v>
      </c>
      <c r="I10" s="7">
        <v>16.337500104881741</v>
      </c>
      <c r="J10" s="5">
        <v>129653401</v>
      </c>
      <c r="K10" s="7">
        <v>16.058722879295079</v>
      </c>
      <c r="L10" s="4">
        <v>709108375</v>
      </c>
      <c r="M10" s="4">
        <v>100.89053526326553</v>
      </c>
    </row>
    <row r="11" spans="1:13" x14ac:dyDescent="0.3">
      <c r="A11" s="3">
        <v>39</v>
      </c>
      <c r="D11" s="5">
        <v>109487386</v>
      </c>
      <c r="E11" s="7">
        <v>14.444753932016519</v>
      </c>
      <c r="F11" s="5">
        <v>206244866</v>
      </c>
      <c r="G11" s="7">
        <v>27.693064416318471</v>
      </c>
      <c r="H11" s="5">
        <v>199509069</v>
      </c>
      <c r="I11" s="7">
        <v>29.006908909173511</v>
      </c>
      <c r="J11" s="5">
        <v>147030547</v>
      </c>
      <c r="K11" s="7">
        <v>18.21103643138655</v>
      </c>
      <c r="L11" s="4">
        <v>662271868</v>
      </c>
      <c r="M11" s="4">
        <v>89.355763688895038</v>
      </c>
    </row>
    <row r="12" spans="1:13" x14ac:dyDescent="0.3">
      <c r="A12" s="3">
        <v>40</v>
      </c>
      <c r="B12" s="5">
        <v>60827548</v>
      </c>
      <c r="C12" s="7">
        <v>10.447284949913129</v>
      </c>
      <c r="D12" s="5">
        <v>82529521</v>
      </c>
      <c r="E12" s="7">
        <v>10.88818234250464</v>
      </c>
      <c r="F12" s="5">
        <v>45127566</v>
      </c>
      <c r="G12" s="7">
        <v>6.0594021874448174</v>
      </c>
      <c r="L12" s="4">
        <v>188484635</v>
      </c>
      <c r="M12" s="4">
        <v>27.394869479862585</v>
      </c>
    </row>
    <row r="13" spans="1:13" x14ac:dyDescent="0.3">
      <c r="A13" s="3" t="s">
        <v>12</v>
      </c>
      <c r="B13" s="5">
        <v>56457230</v>
      </c>
      <c r="C13" s="7">
        <v>9.69667179898134</v>
      </c>
      <c r="D13" s="5">
        <v>114137327</v>
      </c>
      <c r="E13" s="7">
        <v>15.058224177286551</v>
      </c>
      <c r="F13" s="5">
        <v>139629407</v>
      </c>
      <c r="G13" s="7">
        <v>18.748423839376201</v>
      </c>
      <c r="H13" s="5">
        <v>90004051</v>
      </c>
      <c r="I13" s="7">
        <v>13.08581771194374</v>
      </c>
      <c r="J13" s="5">
        <v>117748499</v>
      </c>
      <c r="K13" s="7">
        <v>14.584195249100739</v>
      </c>
      <c r="L13" s="4">
        <v>517976514</v>
      </c>
      <c r="M13" s="4">
        <v>71.173332776688568</v>
      </c>
    </row>
    <row r="14" spans="1:13" x14ac:dyDescent="0.3">
      <c r="A14" s="3" t="s">
        <v>10</v>
      </c>
      <c r="B14" s="5">
        <v>525775841</v>
      </c>
      <c r="C14" s="7">
        <v>90.303328201018658</v>
      </c>
      <c r="D14" s="5">
        <v>643836028</v>
      </c>
      <c r="E14" s="7">
        <v>84.941775822713453</v>
      </c>
      <c r="F14" s="5">
        <v>605123369</v>
      </c>
      <c r="G14" s="7">
        <v>81.251576160623799</v>
      </c>
      <c r="H14" s="5">
        <v>597794396</v>
      </c>
      <c r="I14" s="7">
        <v>86.914182288056253</v>
      </c>
      <c r="J14" s="5">
        <v>689622062</v>
      </c>
      <c r="K14" s="7">
        <v>85.415804750899255</v>
      </c>
      <c r="L14" s="4">
        <v>3062151696</v>
      </c>
      <c r="M14" s="4">
        <v>428.82666722331146</v>
      </c>
    </row>
    <row r="15" spans="1:13" x14ac:dyDescent="0.3">
      <c r="A15" s="3" t="s">
        <v>13</v>
      </c>
      <c r="B15" s="5">
        <v>582233071</v>
      </c>
      <c r="C15" s="7">
        <v>100</v>
      </c>
      <c r="D15" s="5">
        <v>757973355</v>
      </c>
      <c r="E15" s="7">
        <v>100</v>
      </c>
      <c r="F15" s="5">
        <v>744752776</v>
      </c>
      <c r="G15" s="7">
        <v>100</v>
      </c>
      <c r="H15" s="5">
        <v>687798447</v>
      </c>
      <c r="I15" s="7">
        <v>100</v>
      </c>
      <c r="J15" s="5">
        <v>807370561</v>
      </c>
      <c r="K15" s="7">
        <v>100</v>
      </c>
      <c r="L15" s="4">
        <v>3580128210</v>
      </c>
      <c r="M15" s="4">
        <v>500</v>
      </c>
    </row>
    <row r="16" spans="1:13" x14ac:dyDescent="0.3">
      <c r="A16" s="3" t="s">
        <v>16</v>
      </c>
      <c r="B16" s="5">
        <v>1690241983</v>
      </c>
      <c r="C16" s="7">
        <v>290.30332820101864</v>
      </c>
      <c r="D16" s="5">
        <v>2159782738</v>
      </c>
      <c r="E16" s="7">
        <v>284.94177582271345</v>
      </c>
      <c r="F16" s="5">
        <v>2094628921</v>
      </c>
      <c r="G16" s="7">
        <v>281.25157616062381</v>
      </c>
      <c r="H16" s="5">
        <v>1973391290</v>
      </c>
      <c r="I16" s="7">
        <v>286.91418228805628</v>
      </c>
      <c r="J16" s="5">
        <v>2304363184</v>
      </c>
      <c r="K16" s="7">
        <v>285.41580475089927</v>
      </c>
      <c r="L16" s="4">
        <v>10222408116</v>
      </c>
      <c r="M16" s="4">
        <v>1428.8266672233115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72F3-5B0C-423D-9B78-ACF3C155F369}">
  <dimension ref="A3:M17"/>
  <sheetViews>
    <sheetView workbookViewId="0">
      <selection activeCell="E23" sqref="E23"/>
    </sheetView>
  </sheetViews>
  <sheetFormatPr defaultRowHeight="14.4" x14ac:dyDescent="0.3"/>
  <cols>
    <col min="1" max="1" width="17.21875" bestFit="1" customWidth="1"/>
    <col min="2" max="2" width="18.5546875" style="5" bestFit="1" customWidth="1"/>
    <col min="3" max="3" width="17.77734375" style="7" bestFit="1" customWidth="1"/>
    <col min="4" max="4" width="18.5546875" style="5" bestFit="1" customWidth="1"/>
    <col min="5" max="5" width="17.77734375" style="7" bestFit="1" customWidth="1"/>
    <col min="6" max="6" width="18.5546875" style="5" bestFit="1" customWidth="1"/>
    <col min="7" max="7" width="17.77734375" style="7" bestFit="1" customWidth="1"/>
    <col min="8" max="8" width="18.5546875" style="5" bestFit="1" customWidth="1"/>
    <col min="9" max="9" width="17.77734375" style="7" bestFit="1" customWidth="1"/>
    <col min="10" max="10" width="18.5546875" style="5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8" width="5" bestFit="1" customWidth="1"/>
    <col min="19" max="19" width="10" bestFit="1" customWidth="1"/>
  </cols>
  <sheetData>
    <row r="3" spans="1:13" x14ac:dyDescent="0.3">
      <c r="B3" s="6" t="s">
        <v>15</v>
      </c>
    </row>
    <row r="4" spans="1:13" x14ac:dyDescent="0.3">
      <c r="B4" s="4">
        <v>2008</v>
      </c>
      <c r="C4" s="4"/>
      <c r="D4" s="4">
        <v>2012</v>
      </c>
      <c r="E4" s="4"/>
      <c r="F4" s="4">
        <v>2016</v>
      </c>
      <c r="G4" s="4"/>
      <c r="H4" s="4">
        <v>2020</v>
      </c>
      <c r="I4" s="4"/>
      <c r="J4" s="4">
        <v>2024</v>
      </c>
      <c r="L4" t="s">
        <v>19</v>
      </c>
      <c r="M4" t="s">
        <v>20</v>
      </c>
    </row>
    <row r="5" spans="1:13" x14ac:dyDescent="0.3">
      <c r="A5" s="2" t="s">
        <v>17</v>
      </c>
      <c r="B5" s="5" t="s">
        <v>18</v>
      </c>
      <c r="C5" s="7" t="s">
        <v>21</v>
      </c>
      <c r="D5" s="5" t="s">
        <v>18</v>
      </c>
      <c r="E5" s="7" t="s">
        <v>21</v>
      </c>
      <c r="F5" s="5" t="s">
        <v>18</v>
      </c>
      <c r="G5" s="7" t="s">
        <v>21</v>
      </c>
      <c r="H5" s="5" t="s">
        <v>18</v>
      </c>
      <c r="I5" s="7" t="s">
        <v>21</v>
      </c>
      <c r="J5" s="5" t="s">
        <v>18</v>
      </c>
      <c r="K5" s="7" t="s">
        <v>21</v>
      </c>
    </row>
    <row r="6" spans="1:13" x14ac:dyDescent="0.3">
      <c r="A6" s="3">
        <v>25</v>
      </c>
      <c r="B6" s="5">
        <v>50068317</v>
      </c>
      <c r="C6" s="7">
        <v>2.735456233127894</v>
      </c>
      <c r="L6" s="4">
        <v>50068317</v>
      </c>
      <c r="M6" s="4">
        <v>2.735456233127894</v>
      </c>
    </row>
    <row r="7" spans="1:13" x14ac:dyDescent="0.3">
      <c r="A7" s="3">
        <v>29</v>
      </c>
      <c r="B7" s="5">
        <v>1049150752</v>
      </c>
      <c r="C7" s="7">
        <v>57.319800944162303</v>
      </c>
      <c r="D7" s="5">
        <v>1000933219</v>
      </c>
      <c r="E7" s="7">
        <v>43.223959539142562</v>
      </c>
      <c r="F7" s="5">
        <v>978699278</v>
      </c>
      <c r="G7" s="7">
        <v>35.101697396319153</v>
      </c>
      <c r="H7" s="5">
        <v>1543377868</v>
      </c>
      <c r="I7" s="7">
        <v>41.418637965952477</v>
      </c>
      <c r="J7" s="5">
        <v>1980470677</v>
      </c>
      <c r="K7" s="7">
        <v>43.964252122004623</v>
      </c>
      <c r="L7" s="4">
        <v>6552631794</v>
      </c>
      <c r="M7" s="4">
        <v>221.02834796758111</v>
      </c>
    </row>
    <row r="8" spans="1:13" x14ac:dyDescent="0.3">
      <c r="A8" s="3">
        <v>31</v>
      </c>
      <c r="B8" s="5">
        <v>168776249</v>
      </c>
      <c r="C8" s="7">
        <v>9.221001822989086</v>
      </c>
      <c r="D8" s="5">
        <v>140489214</v>
      </c>
      <c r="E8" s="7">
        <v>6.0668384127452377</v>
      </c>
      <c r="L8" s="4">
        <v>309265463</v>
      </c>
      <c r="M8" s="4">
        <v>15.287840235734324</v>
      </c>
    </row>
    <row r="9" spans="1:13" x14ac:dyDescent="0.3">
      <c r="A9" s="3">
        <v>38</v>
      </c>
      <c r="B9" s="5">
        <v>453361013</v>
      </c>
      <c r="C9" s="7">
        <v>24.769141109097522</v>
      </c>
      <c r="D9" s="5">
        <v>848165625</v>
      </c>
      <c r="E9" s="7">
        <v>36.626895742473671</v>
      </c>
      <c r="F9" s="5">
        <v>903453336</v>
      </c>
      <c r="G9" s="7">
        <v>32.402951881984578</v>
      </c>
      <c r="H9" s="5">
        <v>1468836241</v>
      </c>
      <c r="I9" s="7">
        <v>39.418212324170447</v>
      </c>
      <c r="J9" s="5">
        <v>1656713305</v>
      </c>
      <c r="K9" s="7">
        <v>36.777197602961287</v>
      </c>
      <c r="L9" s="4">
        <v>5330529520</v>
      </c>
      <c r="M9" s="4">
        <v>169.99439866068749</v>
      </c>
    </row>
    <row r="10" spans="1:13" x14ac:dyDescent="0.3">
      <c r="A10" s="3">
        <v>39</v>
      </c>
      <c r="D10" s="5">
        <v>57728748</v>
      </c>
      <c r="E10" s="7">
        <v>2.49293861012056</v>
      </c>
      <c r="H10" s="5">
        <v>101297869</v>
      </c>
      <c r="I10" s="7">
        <v>2.7184656783179171</v>
      </c>
      <c r="L10" s="4">
        <v>159026617</v>
      </c>
      <c r="M10" s="4">
        <v>5.2114042884384766</v>
      </c>
    </row>
    <row r="11" spans="1:13" x14ac:dyDescent="0.3">
      <c r="A11" s="3">
        <v>84</v>
      </c>
      <c r="B11" s="5">
        <v>34663973</v>
      </c>
      <c r="C11" s="7">
        <v>1.8938479799076731</v>
      </c>
      <c r="D11" s="5">
        <v>89052315</v>
      </c>
      <c r="E11" s="7">
        <v>3.8456048688968321</v>
      </c>
      <c r="F11" s="5">
        <v>152885578</v>
      </c>
      <c r="G11" s="7">
        <v>5.4833424483402426</v>
      </c>
      <c r="H11" s="5">
        <v>149325525</v>
      </c>
      <c r="I11" s="7">
        <v>4.0073529543775894</v>
      </c>
      <c r="J11" s="5">
        <v>241958776</v>
      </c>
      <c r="K11" s="7">
        <v>5.3712164258393811</v>
      </c>
      <c r="L11" s="4">
        <v>667886167</v>
      </c>
      <c r="M11" s="4">
        <v>20.601364677361719</v>
      </c>
    </row>
    <row r="12" spans="1:13" x14ac:dyDescent="0.3">
      <c r="A12" s="3">
        <v>85</v>
      </c>
      <c r="F12" s="5">
        <v>117001040</v>
      </c>
      <c r="G12" s="7">
        <v>4.1963197413686384</v>
      </c>
      <c r="J12" s="5">
        <v>85628424</v>
      </c>
      <c r="K12" s="7">
        <v>1.9008560264312919</v>
      </c>
      <c r="L12" s="4">
        <v>202629464</v>
      </c>
      <c r="M12" s="4">
        <v>6.0971757677999303</v>
      </c>
    </row>
    <row r="13" spans="1:13" x14ac:dyDescent="0.3">
      <c r="A13" s="3">
        <v>87</v>
      </c>
      <c r="F13" s="5">
        <v>300513791</v>
      </c>
      <c r="G13" s="7">
        <v>10.7781260211604</v>
      </c>
      <c r="H13" s="5">
        <v>184054693</v>
      </c>
      <c r="I13" s="7">
        <v>4.9393572717096443</v>
      </c>
      <c r="J13" s="5">
        <v>101162240</v>
      </c>
      <c r="K13" s="7">
        <v>2.24568951019452</v>
      </c>
      <c r="L13" s="4">
        <v>585730724</v>
      </c>
      <c r="M13" s="4">
        <v>17.963172803064566</v>
      </c>
    </row>
    <row r="14" spans="1:13" x14ac:dyDescent="0.3">
      <c r="A14" s="3" t="s">
        <v>12</v>
      </c>
      <c r="B14" s="5">
        <v>74325815</v>
      </c>
      <c r="C14" s="7">
        <v>4.0607519107155277</v>
      </c>
      <c r="D14" s="5">
        <v>179321597</v>
      </c>
      <c r="E14" s="7">
        <v>7.7437628266211327</v>
      </c>
      <c r="F14" s="5">
        <v>335629175</v>
      </c>
      <c r="G14" s="7">
        <v>12.037562510826991</v>
      </c>
      <c r="H14" s="5">
        <v>279396122</v>
      </c>
      <c r="I14" s="7">
        <v>7.4979738054719149</v>
      </c>
      <c r="J14" s="5">
        <v>438796174</v>
      </c>
      <c r="K14" s="7">
        <v>9.7407883125688954</v>
      </c>
      <c r="L14" s="4">
        <v>1307468883</v>
      </c>
      <c r="M14" s="4">
        <v>41.080839366204458</v>
      </c>
    </row>
    <row r="15" spans="1:13" x14ac:dyDescent="0.3">
      <c r="A15" s="3" t="s">
        <v>10</v>
      </c>
      <c r="B15" s="5">
        <v>1756020304</v>
      </c>
      <c r="C15" s="7">
        <v>95.939248089284476</v>
      </c>
      <c r="D15" s="5">
        <v>2136369121</v>
      </c>
      <c r="E15" s="7">
        <v>92.256237173378864</v>
      </c>
      <c r="F15" s="5">
        <v>2452553023</v>
      </c>
      <c r="G15" s="7">
        <v>87.962437489173013</v>
      </c>
      <c r="H15" s="5">
        <v>3446892196</v>
      </c>
      <c r="I15" s="7">
        <v>92.502026194528085</v>
      </c>
      <c r="J15" s="5">
        <v>4065933422</v>
      </c>
      <c r="K15" s="7">
        <v>90.259211687431105</v>
      </c>
      <c r="L15" s="4">
        <v>13857768066</v>
      </c>
      <c r="M15" s="4">
        <v>458.91916063379551</v>
      </c>
    </row>
    <row r="16" spans="1:13" x14ac:dyDescent="0.3">
      <c r="A16" s="3" t="s">
        <v>13</v>
      </c>
      <c r="B16" s="5">
        <v>1830346119</v>
      </c>
      <c r="C16" s="7">
        <v>100</v>
      </c>
      <c r="D16" s="5">
        <v>2315690718</v>
      </c>
      <c r="E16" s="7">
        <v>100</v>
      </c>
      <c r="F16" s="5">
        <v>2788182198</v>
      </c>
      <c r="G16" s="7">
        <v>100</v>
      </c>
      <c r="H16" s="5">
        <v>3726288318</v>
      </c>
      <c r="I16" s="7">
        <v>100</v>
      </c>
      <c r="J16" s="5">
        <v>4504729596</v>
      </c>
      <c r="K16" s="7">
        <v>100</v>
      </c>
      <c r="L16" s="4">
        <v>15165236949</v>
      </c>
      <c r="M16" s="4">
        <v>500</v>
      </c>
    </row>
    <row r="17" spans="1:13" x14ac:dyDescent="0.3">
      <c r="A17" s="3" t="s">
        <v>16</v>
      </c>
      <c r="B17" s="5">
        <v>5416712542</v>
      </c>
      <c r="C17" s="7">
        <v>295.93924808928449</v>
      </c>
      <c r="D17" s="5">
        <v>6767750557</v>
      </c>
      <c r="E17" s="7">
        <v>292.25623717337885</v>
      </c>
      <c r="F17" s="5">
        <v>8028917419</v>
      </c>
      <c r="G17" s="7">
        <v>287.962437489173</v>
      </c>
      <c r="H17" s="5">
        <v>10899468832</v>
      </c>
      <c r="I17" s="7">
        <v>292.50202619452807</v>
      </c>
      <c r="J17" s="5">
        <v>13075392614</v>
      </c>
      <c r="K17" s="7">
        <v>290.2592116874311</v>
      </c>
      <c r="L17" s="4">
        <v>44188241964</v>
      </c>
      <c r="M17" s="4">
        <v>1458.9191606337954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29</v>
      </c>
      <c r="E2">
        <v>1049150752</v>
      </c>
      <c r="F2">
        <v>57.319800944162303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38</v>
      </c>
      <c r="E3">
        <v>453361013</v>
      </c>
      <c r="F3">
        <v>24.769141109097522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31</v>
      </c>
      <c r="E4">
        <v>168776249</v>
      </c>
      <c r="F4">
        <v>9.221001822989086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25</v>
      </c>
      <c r="E5">
        <v>50068317</v>
      </c>
      <c r="F5">
        <v>2.735456233127894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84</v>
      </c>
      <c r="E6">
        <v>34663973</v>
      </c>
      <c r="F6">
        <v>1.8938479799076731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1756020304</v>
      </c>
      <c r="F7">
        <v>95.939248089284476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74325815</v>
      </c>
      <c r="F8">
        <v>4.0607519107155277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1830346119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29</v>
      </c>
      <c r="E10">
        <v>951316274</v>
      </c>
      <c r="F10">
        <v>52.732548747146602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38</v>
      </c>
      <c r="E11">
        <v>566484588</v>
      </c>
      <c r="F11">
        <v>31.400888398149341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31</v>
      </c>
      <c r="E12">
        <v>103336275</v>
      </c>
      <c r="F12">
        <v>5.7280478718963312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84</v>
      </c>
      <c r="E13">
        <v>56509567</v>
      </c>
      <c r="F13">
        <v>3.1323899085401821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30</v>
      </c>
      <c r="E14">
        <v>29017610</v>
      </c>
      <c r="F14">
        <v>1.6084792993362469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1706664314</v>
      </c>
      <c r="F15">
        <v>94.602354225068694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97375689</v>
      </c>
      <c r="F16">
        <v>5.3976457749313003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1804040003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29</v>
      </c>
      <c r="E18">
        <v>913567652</v>
      </c>
      <c r="F18">
        <v>46.290514617012533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38</v>
      </c>
      <c r="E19">
        <v>630090754</v>
      </c>
      <c r="F19">
        <v>31.926727259035491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84</v>
      </c>
      <c r="E20">
        <v>142044974</v>
      </c>
      <c r="F20">
        <v>7.1974253147266269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31</v>
      </c>
      <c r="E21">
        <v>66067609</v>
      </c>
      <c r="F21">
        <v>3.3476487629900991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39</v>
      </c>
      <c r="E22">
        <v>58945805</v>
      </c>
      <c r="F22">
        <v>2.9867866293103709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1810716794</v>
      </c>
      <c r="F23">
        <v>91.749102583075114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162835800</v>
      </c>
      <c r="F24">
        <v>8.2508974169248823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1973552594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29</v>
      </c>
      <c r="E26">
        <v>917456005</v>
      </c>
      <c r="F26">
        <v>43.654429768448907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38</v>
      </c>
      <c r="E27">
        <v>744543072</v>
      </c>
      <c r="F27">
        <v>35.426879402472487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31</v>
      </c>
      <c r="E28">
        <v>125867385</v>
      </c>
      <c r="F28">
        <v>5.9890271453624839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84</v>
      </c>
      <c r="E29">
        <v>77640356</v>
      </c>
      <c r="F29">
        <v>3.6942866466925248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30</v>
      </c>
      <c r="E30">
        <v>51458738</v>
      </c>
      <c r="F30">
        <v>2.448511810649725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1916965556</v>
      </c>
      <c r="F31">
        <v>91.213134773626123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184667680</v>
      </c>
      <c r="F32">
        <v>8.7868652263738767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2101633236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29</v>
      </c>
      <c r="E34">
        <v>1000933219</v>
      </c>
      <c r="F34">
        <v>43.223959539142562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38</v>
      </c>
      <c r="E35">
        <v>848165625</v>
      </c>
      <c r="F35">
        <v>36.626895742473671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31</v>
      </c>
      <c r="E36">
        <v>140489214</v>
      </c>
      <c r="F36">
        <v>6.0668384127452377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84</v>
      </c>
      <c r="E37">
        <v>89052315</v>
      </c>
      <c r="F37">
        <v>3.8456048688968321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39</v>
      </c>
      <c r="E38">
        <v>57728748</v>
      </c>
      <c r="F38">
        <v>2.49293861012056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2136369121</v>
      </c>
      <c r="F39">
        <v>92.256237173378864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179321597</v>
      </c>
      <c r="F40">
        <v>7.7437628266211327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2315690718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29</v>
      </c>
      <c r="E42">
        <v>1202953004</v>
      </c>
      <c r="F42">
        <v>38.347477018199562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38</v>
      </c>
      <c r="E43">
        <v>1125971969</v>
      </c>
      <c r="F43">
        <v>35.893492148729358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84</v>
      </c>
      <c r="E44">
        <v>173579818</v>
      </c>
      <c r="F44">
        <v>5.5333400884697088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87</v>
      </c>
      <c r="E45">
        <v>154263395</v>
      </c>
      <c r="F45">
        <v>4.9175753124533026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39</v>
      </c>
      <c r="E46">
        <v>91897043</v>
      </c>
      <c r="F46">
        <v>2.9294741629682122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2748665229</v>
      </c>
      <c r="F47">
        <v>87.621358730820148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388315604</v>
      </c>
      <c r="F48">
        <v>12.378641269179861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3136980833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38</v>
      </c>
      <c r="E50">
        <v>1208605137</v>
      </c>
      <c r="F50">
        <v>36.018105463530979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29</v>
      </c>
      <c r="E51">
        <v>1085720566</v>
      </c>
      <c r="F51">
        <v>32.355975208892851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87</v>
      </c>
      <c r="E52">
        <v>316214318</v>
      </c>
      <c r="F52">
        <v>9.4236242310481941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84</v>
      </c>
      <c r="E53">
        <v>196466234</v>
      </c>
      <c r="F53">
        <v>5.8549656290553704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39</v>
      </c>
      <c r="E54">
        <v>98371566</v>
      </c>
      <c r="F54">
        <v>2.9316087863034608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2905377821</v>
      </c>
      <c r="F55">
        <v>86.584279318830852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450171066</v>
      </c>
      <c r="F56">
        <v>13.415720681169139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3355548887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38</v>
      </c>
      <c r="E58">
        <v>1204273966</v>
      </c>
      <c r="F58">
        <v>37.993776454592521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29</v>
      </c>
      <c r="E59">
        <v>880309029</v>
      </c>
      <c r="F59">
        <v>27.772969775205951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87</v>
      </c>
      <c r="E60">
        <v>363283380</v>
      </c>
      <c r="F60">
        <v>11.4612687138242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84</v>
      </c>
      <c r="E61">
        <v>196172525</v>
      </c>
      <c r="F61">
        <v>6.1890693245983206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85</v>
      </c>
      <c r="E62">
        <v>140972874</v>
      </c>
      <c r="F62">
        <v>4.447569250963479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2785011774</v>
      </c>
      <c r="F63">
        <v>87.864653519184472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384649361</v>
      </c>
      <c r="F64">
        <v>12.13534648081553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3169661135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29</v>
      </c>
      <c r="E66">
        <v>978699278</v>
      </c>
      <c r="F66">
        <v>35.101697396319153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38</v>
      </c>
      <c r="E67">
        <v>903453336</v>
      </c>
      <c r="F67">
        <v>32.402951881984578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87</v>
      </c>
      <c r="E68">
        <v>300513791</v>
      </c>
      <c r="F68">
        <v>10.7781260211604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84</v>
      </c>
      <c r="E69">
        <v>152885578</v>
      </c>
      <c r="F69">
        <v>5.4833424483402426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85</v>
      </c>
      <c r="E70">
        <v>117001040</v>
      </c>
      <c r="F70">
        <v>4.1963197413686384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2452553023</v>
      </c>
      <c r="F71">
        <v>87.962437489173013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335629175</v>
      </c>
      <c r="F72">
        <v>12.037562510826991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2788182198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38</v>
      </c>
      <c r="E74">
        <v>1009427366</v>
      </c>
      <c r="F74">
        <v>33.920491335622103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29</v>
      </c>
      <c r="E75">
        <v>933910255</v>
      </c>
      <c r="F75">
        <v>31.38283722038117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87</v>
      </c>
      <c r="E76">
        <v>313351745</v>
      </c>
      <c r="F76">
        <v>10.52977708876041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84</v>
      </c>
      <c r="E77">
        <v>193447425</v>
      </c>
      <c r="F77">
        <v>6.500548652265195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85</v>
      </c>
      <c r="E78">
        <v>131808398</v>
      </c>
      <c r="F78">
        <v>4.4292494664952731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2581945189</v>
      </c>
      <c r="F79">
        <v>86.762903763524136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393917855</v>
      </c>
      <c r="F80">
        <v>13.23709623647586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2975863044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29</v>
      </c>
      <c r="E82">
        <v>1065470873</v>
      </c>
      <c r="F82">
        <v>34.585504141455978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38</v>
      </c>
      <c r="E83">
        <v>923925116</v>
      </c>
      <c r="F83">
        <v>29.990886410475522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87</v>
      </c>
      <c r="E84">
        <v>337824299</v>
      </c>
      <c r="F84">
        <v>10.9658780809759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84</v>
      </c>
      <c r="E85">
        <v>204693619</v>
      </c>
      <c r="F85">
        <v>6.6444162736432792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85</v>
      </c>
      <c r="E86">
        <v>143851645</v>
      </c>
      <c r="F86">
        <v>4.669467547145941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2675765552</v>
      </c>
      <c r="F87">
        <v>86.856152453696609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404920705</v>
      </c>
      <c r="F88">
        <v>13.14384754630338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3080686257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29</v>
      </c>
      <c r="E90">
        <v>1495905091</v>
      </c>
      <c r="F90">
        <v>37.866726272472832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38</v>
      </c>
      <c r="E91">
        <v>1458298744</v>
      </c>
      <c r="F91">
        <v>36.914774670379757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87</v>
      </c>
      <c r="E92">
        <v>291061876</v>
      </c>
      <c r="F92">
        <v>7.3678206278959886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84</v>
      </c>
      <c r="E93">
        <v>185142929</v>
      </c>
      <c r="F93">
        <v>4.6866319634223848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39</v>
      </c>
      <c r="E94">
        <v>112935745</v>
      </c>
      <c r="F94">
        <v>2.858809003339899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3543344385</v>
      </c>
      <c r="F95">
        <v>89.694762537510854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407102982</v>
      </c>
      <c r="F96">
        <v>10.30523746248914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3950447367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29</v>
      </c>
      <c r="E98">
        <v>1543377868</v>
      </c>
      <c r="F98">
        <v>41.418637965952477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38</v>
      </c>
      <c r="E99">
        <v>1468836241</v>
      </c>
      <c r="F99">
        <v>39.418212324170447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87</v>
      </c>
      <c r="E100">
        <v>184054693</v>
      </c>
      <c r="F100">
        <v>4.9393572717096443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84</v>
      </c>
      <c r="E101">
        <v>149325525</v>
      </c>
      <c r="F101">
        <v>4.0073529543775894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39</v>
      </c>
      <c r="E102">
        <v>101297869</v>
      </c>
      <c r="F102">
        <v>2.7184656783179171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3446892196</v>
      </c>
      <c r="F103">
        <v>92.502026194528085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279396122</v>
      </c>
      <c r="F104">
        <v>7.4979738054719149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3726288318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29</v>
      </c>
      <c r="E106">
        <v>1904656310</v>
      </c>
      <c r="F106">
        <v>43.189192966438839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38</v>
      </c>
      <c r="E107">
        <v>1516261691</v>
      </c>
      <c r="F107">
        <v>34.382118399207613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39</v>
      </c>
      <c r="E108">
        <v>219622158</v>
      </c>
      <c r="F108">
        <v>4.9800605556850934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87</v>
      </c>
      <c r="E109">
        <v>209245105</v>
      </c>
      <c r="F109">
        <v>4.744754825151503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84</v>
      </c>
      <c r="E110">
        <v>173767008</v>
      </c>
      <c r="F110">
        <v>3.9402682784867999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4023552272</v>
      </c>
      <c r="F111">
        <v>91.236395024969838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386477597</v>
      </c>
      <c r="F112">
        <v>8.7636049750301588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4410029869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29</v>
      </c>
      <c r="E114">
        <v>3473915818</v>
      </c>
      <c r="F114">
        <v>53.221446642229509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38</v>
      </c>
      <c r="E115">
        <v>2141416741</v>
      </c>
      <c r="F115">
        <v>32.80715561078933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84</v>
      </c>
      <c r="E116">
        <v>219318260</v>
      </c>
      <c r="F116">
        <v>3.3600224311067679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39</v>
      </c>
      <c r="E117">
        <v>151607262</v>
      </c>
      <c r="F117">
        <v>2.3226693529242879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31</v>
      </c>
      <c r="E118">
        <v>115953192</v>
      </c>
      <c r="F118">
        <v>1.7764381592231759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6102211273</v>
      </c>
      <c r="F119">
        <v>93.487732196273072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425074318</v>
      </c>
      <c r="F120">
        <v>6.512267803726929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6527285591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29</v>
      </c>
      <c r="E122">
        <v>1792902033</v>
      </c>
      <c r="F122">
        <v>44.388151671698687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38</v>
      </c>
      <c r="E123">
        <v>1391340847</v>
      </c>
      <c r="F123">
        <v>34.446415591557162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84</v>
      </c>
      <c r="E124">
        <v>176036786</v>
      </c>
      <c r="F124">
        <v>4.3582679995579907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31</v>
      </c>
      <c r="E125">
        <v>125921431</v>
      </c>
      <c r="F125">
        <v>3.117526487820844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27</v>
      </c>
      <c r="E126">
        <v>121463976</v>
      </c>
      <c r="F126">
        <v>3.0071701019347161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3607665073</v>
      </c>
      <c r="F127">
        <v>89.317531852569402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431480432</v>
      </c>
      <c r="F128">
        <v>10.682468147430599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4039145505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29</v>
      </c>
      <c r="E130">
        <v>1980470677</v>
      </c>
      <c r="F130">
        <v>43.964252122004623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38</v>
      </c>
      <c r="E131">
        <v>1656713305</v>
      </c>
      <c r="F131">
        <v>36.777197602961287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84</v>
      </c>
      <c r="E132">
        <v>241958776</v>
      </c>
      <c r="F132">
        <v>5.3712164258393811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87</v>
      </c>
      <c r="E133">
        <v>101162240</v>
      </c>
      <c r="F133">
        <v>2.24568951019452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85</v>
      </c>
      <c r="E134">
        <v>85628424</v>
      </c>
      <c r="F134">
        <v>1.9008560264312919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4065933422</v>
      </c>
      <c r="F135">
        <v>90.259211687431105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438796174</v>
      </c>
      <c r="F136">
        <v>9.7407883125688954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4504729596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2025-04-28T19:15:18Z</dcterms:created>
  <dcterms:modified xsi:type="dcterms:W3CDTF">2025-04-30T18:50:45Z</dcterms:modified>
</cp:coreProperties>
</file>