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77FF9034-C237-425C-B2B3-6F15EE74BB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<sst xmlns="http://schemas.openxmlformats.org/spreadsheetml/2006/main" count="968" uniqueCount="22">
  <si>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</si>
  <si>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</si>
  <si>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</si>
  <si>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</si>
  <si>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</si>
  <si>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</si>
  <si>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</si>
  <si>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Leme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</si>
  <si>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</si>
  <si>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</si>
  <si>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</si>
  <si>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</si>
  <si>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</si>
  <si>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</si>
  <si>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</si>
  <si>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</si>
  <si>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</si>
  <si>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Rótulos de Linha</t>
  </si>
  <si>
    <t>Soma de Valor (US$)</t>
  </si>
  <si>
    <t>Total Soma de Valor (US$)</t>
  </si>
  <si>
    <t>Total Soma de % do Total</t>
  </si>
  <si>
    <t>Soma de 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</si>
</sst>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06383217592" createdVersion="8" refreshedVersion="8" minRefreshableVersion="3" recordCount="136" xr:uid="{D1CC3514-9E63-4D11-8AD5-AE2A56796EA0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" maxValue="84" count="17">
        <n v="22"/>
        <n v="17"/>
        <n v="9"/>
        <n v="84"/>
        <n v="60"/>
        <s v="Subtotal"/>
        <s v="Outros"/>
        <s v="TOTAL"/>
        <n v="48"/>
        <n v="38"/>
        <n v="12"/>
        <n v="23"/>
        <n v="10"/>
        <n v="2"/>
        <n v="15"/>
        <n v="44"/>
        <n v="20"/>
      </sharedItems>
    </cacheField>
    <cacheField name="Valor (US$)" numFmtId="0">
      <sharedItems containsSemiMixedTypes="0" containsString="0" containsNumber="1" containsInteger="1" minValue="637444" maxValue="552395416"/>
    </cacheField>
    <cacheField name="% do Total" numFmtId="0">
      <sharedItems containsSemiMixedTypes="0" containsString="0" containsNumber="1" minValue="0.68028036593834029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07241319447" createdVersion="8" refreshedVersion="8" minRefreshableVersion="3" recordCount="136" xr:uid="{849CC7A5-CF03-4F08-9407-3F97E98BBB5F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1" maxValue="96" count="17">
        <n v="94"/>
        <n v="84"/>
        <n v="39"/>
        <n v="73"/>
        <n v="87"/>
        <s v="Subtotal"/>
        <s v="Outros"/>
        <s v="TOTAL"/>
        <n v="72"/>
        <n v="96"/>
        <n v="29"/>
        <n v="22"/>
        <n v="28"/>
        <n v="55"/>
        <n v="33"/>
        <n v="21"/>
        <n v="31"/>
      </sharedItems>
    </cacheField>
    <cacheField name="Valor (US$)" numFmtId="0">
      <sharedItems containsSemiMixedTypes="0" containsString="0" containsNumber="1" containsInteger="1" minValue="843141" maxValue="69788171"/>
    </cacheField>
    <cacheField name="% do Total" numFmtId="0">
      <sharedItems containsSemiMixedTypes="0" containsString="0" containsNumber="1" minValue="2.6559757840716989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Leme - SP"/>
    <s v="Exportação"/>
    <x v="0"/>
    <x v="0"/>
    <n v="23262917"/>
    <n v="39.874180339958627"/>
    <s v="Top 5"/>
  </r>
  <r>
    <s v="Leme - SP"/>
    <s v="Exportação"/>
    <x v="0"/>
    <x v="1"/>
    <n v="14672248"/>
    <n v="25.149204751261301"/>
    <s v="Top 5"/>
  </r>
  <r>
    <s v="Leme - SP"/>
    <s v="Exportação"/>
    <x v="0"/>
    <x v="2"/>
    <n v="12729773"/>
    <n v="21.81967395957852"/>
    <s v="Top 5"/>
  </r>
  <r>
    <s v="Leme - SP"/>
    <s v="Exportação"/>
    <x v="0"/>
    <x v="3"/>
    <n v="2366325"/>
    <n v="4.0560377614274534"/>
    <s v="Top 5"/>
  </r>
  <r>
    <s v="Leme - SP"/>
    <s v="Exportação"/>
    <x v="0"/>
    <x v="4"/>
    <n v="934227"/>
    <n v="1.601326947796724"/>
    <s v="Top 5"/>
  </r>
  <r>
    <s v="Leme - SP"/>
    <s v="Exportação"/>
    <x v="0"/>
    <x v="5"/>
    <n v="53965490"/>
    <n v="92.500423760022642"/>
    <s v="Total"/>
  </r>
  <r>
    <s v="Leme - SP"/>
    <s v="Exportação"/>
    <x v="0"/>
    <x v="6"/>
    <n v="4375313"/>
    <n v="7.4995762399773627"/>
    <s v="Total"/>
  </r>
  <r>
    <s v="Leme - SP"/>
    <s v="Exportação"/>
    <x v="0"/>
    <x v="7"/>
    <n v="58340803"/>
    <n v="100"/>
    <s v="Total"/>
  </r>
  <r>
    <s v="Leme - SP"/>
    <s v="Exportação"/>
    <x v="1"/>
    <x v="1"/>
    <n v="35015762"/>
    <n v="45.864469257799747"/>
    <s v="Top 5"/>
  </r>
  <r>
    <s v="Leme - SP"/>
    <s v="Exportação"/>
    <x v="1"/>
    <x v="0"/>
    <n v="23910358"/>
    <n v="31.318349703027639"/>
    <s v="Top 5"/>
  </r>
  <r>
    <s v="Leme - SP"/>
    <s v="Exportação"/>
    <x v="1"/>
    <x v="2"/>
    <n v="6511804"/>
    <n v="8.5293141520329456"/>
    <s v="Top 5"/>
  </r>
  <r>
    <s v="Leme - SP"/>
    <s v="Exportação"/>
    <x v="1"/>
    <x v="8"/>
    <n v="4692156"/>
    <n v="6.1458963713198838"/>
    <s v="Top 5"/>
  </r>
  <r>
    <s v="Leme - SP"/>
    <s v="Exportação"/>
    <x v="1"/>
    <x v="3"/>
    <n v="2540851"/>
    <n v="3.3280664455667068"/>
    <s v="Top 5"/>
  </r>
  <r>
    <s v="Leme - SP"/>
    <s v="Exportação"/>
    <x v="1"/>
    <x v="5"/>
    <n v="72670931"/>
    <n v="95.186095929746926"/>
    <s v="Total"/>
  </r>
  <r>
    <s v="Leme - SP"/>
    <s v="Exportação"/>
    <x v="1"/>
    <x v="6"/>
    <n v="3675231"/>
    <n v="4.8139040702530664"/>
    <s v="Total"/>
  </r>
  <r>
    <s v="Leme - SP"/>
    <s v="Exportação"/>
    <x v="1"/>
    <x v="7"/>
    <n v="76346162"/>
    <n v="100"/>
    <s v="Total"/>
  </r>
  <r>
    <s v="Leme - SP"/>
    <s v="Exportação"/>
    <x v="2"/>
    <x v="1"/>
    <n v="80845496"/>
    <n v="66.532374881285349"/>
    <s v="Top 5"/>
  </r>
  <r>
    <s v="Leme - SP"/>
    <s v="Exportação"/>
    <x v="2"/>
    <x v="2"/>
    <n v="26148391"/>
    <n v="21.51900400925771"/>
    <s v="Top 5"/>
  </r>
  <r>
    <s v="Leme - SP"/>
    <s v="Exportação"/>
    <x v="2"/>
    <x v="8"/>
    <n v="4957496"/>
    <n v="4.0798065280528757"/>
    <s v="Top 5"/>
  </r>
  <r>
    <s v="Leme - SP"/>
    <s v="Exportação"/>
    <x v="2"/>
    <x v="0"/>
    <n v="3820369"/>
    <n v="3.143999790573877"/>
    <s v="Top 5"/>
  </r>
  <r>
    <s v="Leme - SP"/>
    <s v="Exportação"/>
    <x v="2"/>
    <x v="3"/>
    <n v="2268224"/>
    <n v="1.8666510436490931"/>
    <s v="Top 5"/>
  </r>
  <r>
    <s v="Leme - SP"/>
    <s v="Exportação"/>
    <x v="2"/>
    <x v="5"/>
    <n v="118039976"/>
    <n v="97.141836252818905"/>
    <s v="Total"/>
  </r>
  <r>
    <s v="Leme - SP"/>
    <s v="Exportação"/>
    <x v="2"/>
    <x v="6"/>
    <n v="3473041"/>
    <n v="2.8581637471810941"/>
    <s v="Total"/>
  </r>
  <r>
    <s v="Leme - SP"/>
    <s v="Exportação"/>
    <x v="2"/>
    <x v="7"/>
    <n v="121513017"/>
    <n v="100"/>
    <s v="Total"/>
  </r>
  <r>
    <s v="Leme - SP"/>
    <s v="Exportação"/>
    <x v="3"/>
    <x v="1"/>
    <n v="80359899"/>
    <n v="68.884376939384595"/>
    <s v="Top 5"/>
  </r>
  <r>
    <s v="Leme - SP"/>
    <s v="Exportação"/>
    <x v="3"/>
    <x v="2"/>
    <n v="28012243"/>
    <n v="24.012049912228459"/>
    <s v="Top 5"/>
  </r>
  <r>
    <s v="Leme - SP"/>
    <s v="Exportação"/>
    <x v="3"/>
    <x v="3"/>
    <n v="3051829"/>
    <n v="2.6160229393835488"/>
    <s v="Top 5"/>
  </r>
  <r>
    <s v="Leme - SP"/>
    <s v="Exportação"/>
    <x v="3"/>
    <x v="8"/>
    <n v="2028509"/>
    <n v="1.7388346715186149"/>
    <s v="Top 5"/>
  </r>
  <r>
    <s v="Leme - SP"/>
    <s v="Exportação"/>
    <x v="3"/>
    <x v="9"/>
    <n v="793609"/>
    <n v="0.68028036593834029"/>
    <s v="Top 5"/>
  </r>
  <r>
    <s v="Leme - SP"/>
    <s v="Exportação"/>
    <x v="3"/>
    <x v="5"/>
    <n v="114246089"/>
    <n v="97.93156482845356"/>
    <s v="Total"/>
  </r>
  <r>
    <s v="Leme - SP"/>
    <s v="Exportação"/>
    <x v="3"/>
    <x v="6"/>
    <n v="2413018"/>
    <n v="2.0684351715464442"/>
    <s v="Total"/>
  </r>
  <r>
    <s v="Leme - SP"/>
    <s v="Exportação"/>
    <x v="3"/>
    <x v="7"/>
    <n v="116659107"/>
    <n v="100"/>
    <s v="Total"/>
  </r>
  <r>
    <s v="Leme - SP"/>
    <s v="Exportação"/>
    <x v="4"/>
    <x v="1"/>
    <n v="56330296"/>
    <n v="83.148243727314991"/>
    <s v="Top 5"/>
  </r>
  <r>
    <s v="Leme - SP"/>
    <s v="Exportação"/>
    <x v="4"/>
    <x v="2"/>
    <n v="7109913"/>
    <n v="10.4948282005123"/>
    <s v="Top 5"/>
  </r>
  <r>
    <s v="Leme - SP"/>
    <s v="Exportação"/>
    <x v="4"/>
    <x v="3"/>
    <n v="1792465"/>
    <n v="2.6458287507078189"/>
    <s v="Top 5"/>
  </r>
  <r>
    <s v="Leme - SP"/>
    <s v="Exportação"/>
    <x v="4"/>
    <x v="9"/>
    <n v="1066470"/>
    <n v="1.5741992104545239"/>
    <s v="Top 5"/>
  </r>
  <r>
    <s v="Leme - SP"/>
    <s v="Exportação"/>
    <x v="4"/>
    <x v="4"/>
    <n v="810238"/>
    <n v="1.1959792773169919"/>
    <s v="Top 5"/>
  </r>
  <r>
    <s v="Leme - SP"/>
    <s v="Exportação"/>
    <x v="4"/>
    <x v="5"/>
    <n v="67109382"/>
    <n v="99.059079166306631"/>
    <s v="Total"/>
  </r>
  <r>
    <s v="Leme - SP"/>
    <s v="Exportação"/>
    <x v="4"/>
    <x v="6"/>
    <n v="637444"/>
    <n v="0.94092083369337487"/>
    <s v="Total"/>
  </r>
  <r>
    <s v="Leme - SP"/>
    <s v="Exportação"/>
    <x v="4"/>
    <x v="7"/>
    <n v="67746826"/>
    <n v="100"/>
    <s v="Total"/>
  </r>
  <r>
    <s v="Leme - SP"/>
    <s v="Exportação"/>
    <x v="5"/>
    <x v="1"/>
    <n v="55375461"/>
    <n v="46.050411154606543"/>
    <s v="Top 5"/>
  </r>
  <r>
    <s v="Leme - SP"/>
    <s v="Exportação"/>
    <x v="5"/>
    <x v="10"/>
    <n v="17872057"/>
    <n v="14.8624599807587"/>
    <s v="Top 5"/>
  </r>
  <r>
    <s v="Leme - SP"/>
    <s v="Exportação"/>
    <x v="5"/>
    <x v="11"/>
    <n v="13768582"/>
    <n v="11.449996996249199"/>
    <s v="Top 5"/>
  </r>
  <r>
    <s v="Leme - SP"/>
    <s v="Exportação"/>
    <x v="5"/>
    <x v="12"/>
    <n v="10346998"/>
    <n v="8.6045967566011168"/>
    <s v="Top 5"/>
  </r>
  <r>
    <s v="Leme - SP"/>
    <s v="Exportação"/>
    <x v="5"/>
    <x v="0"/>
    <n v="7156677"/>
    <n v="5.9515155702399678"/>
    <s v="Top 5"/>
  </r>
  <r>
    <s v="Leme - SP"/>
    <s v="Exportação"/>
    <x v="5"/>
    <x v="5"/>
    <n v="104519775"/>
    <n v="86.918980458455536"/>
    <s v="Total"/>
  </r>
  <r>
    <s v="Leme - SP"/>
    <s v="Exportação"/>
    <x v="5"/>
    <x v="6"/>
    <n v="15729881"/>
    <n v="13.081019541544469"/>
    <s v="Total"/>
  </r>
  <r>
    <s v="Leme - SP"/>
    <s v="Exportação"/>
    <x v="5"/>
    <x v="7"/>
    <n v="120249656"/>
    <n v="100"/>
    <s v="Total"/>
  </r>
  <r>
    <s v="Leme - SP"/>
    <s v="Exportação"/>
    <x v="6"/>
    <x v="11"/>
    <n v="62402719"/>
    <n v="52.039672817482419"/>
    <s v="Top 5"/>
  </r>
  <r>
    <s v="Leme - SP"/>
    <s v="Exportação"/>
    <x v="6"/>
    <x v="1"/>
    <n v="41460109"/>
    <n v="34.574943879242802"/>
    <s v="Top 5"/>
  </r>
  <r>
    <s v="Leme - SP"/>
    <s v="Exportação"/>
    <x v="6"/>
    <x v="13"/>
    <n v="6208394"/>
    <n v="5.1773832560408293"/>
    <s v="Top 5"/>
  </r>
  <r>
    <s v="Leme - SP"/>
    <s v="Exportação"/>
    <x v="6"/>
    <x v="10"/>
    <n v="2795400"/>
    <n v="2.3311756879374181"/>
    <s v="Top 5"/>
  </r>
  <r>
    <s v="Leme - SP"/>
    <s v="Exportação"/>
    <x v="6"/>
    <x v="3"/>
    <n v="1804668"/>
    <n v="1.5049717988118489"/>
    <s v="Top 5"/>
  </r>
  <r>
    <s v="Leme - SP"/>
    <s v="Exportação"/>
    <x v="6"/>
    <x v="5"/>
    <n v="114671290"/>
    <n v="95.628147439515317"/>
    <s v="Total"/>
  </r>
  <r>
    <s v="Leme - SP"/>
    <s v="Exportação"/>
    <x v="6"/>
    <x v="6"/>
    <n v="5242452"/>
    <n v="4.3718525604846858"/>
    <s v="Total"/>
  </r>
  <r>
    <s v="Leme - SP"/>
    <s v="Exportação"/>
    <x v="6"/>
    <x v="7"/>
    <n v="119913742"/>
    <n v="100"/>
    <s v="Total"/>
  </r>
  <r>
    <s v="Leme - SP"/>
    <s v="Exportação"/>
    <x v="7"/>
    <x v="10"/>
    <n v="105326832"/>
    <n v="47.750760679168167"/>
    <s v="Top 5"/>
  </r>
  <r>
    <s v="Leme - SP"/>
    <s v="Exportação"/>
    <x v="7"/>
    <x v="11"/>
    <n v="68530961"/>
    <n v="31.06905862149549"/>
    <s v="Top 5"/>
  </r>
  <r>
    <s v="Leme - SP"/>
    <s v="Exportação"/>
    <x v="7"/>
    <x v="14"/>
    <n v="29921780"/>
    <n v="13.56527798989265"/>
    <s v="Top 5"/>
  </r>
  <r>
    <s v="Leme - SP"/>
    <s v="Exportação"/>
    <x v="7"/>
    <x v="13"/>
    <n v="5020377"/>
    <n v="2.2760280176868921"/>
    <s v="Top 5"/>
  </r>
  <r>
    <s v="Leme - SP"/>
    <s v="Exportação"/>
    <x v="7"/>
    <x v="3"/>
    <n v="3318148"/>
    <n v="1.5043089024652381"/>
    <s v="Top 5"/>
  </r>
  <r>
    <s v="Leme - SP"/>
    <s v="Exportação"/>
    <x v="7"/>
    <x v="5"/>
    <n v="212118098"/>
    <n v="96.16543421070844"/>
    <s v="Total"/>
  </r>
  <r>
    <s v="Leme - SP"/>
    <s v="Exportação"/>
    <x v="7"/>
    <x v="6"/>
    <n v="8458141"/>
    <n v="3.834565789291565"/>
    <s v="Total"/>
  </r>
  <r>
    <s v="Leme - SP"/>
    <s v="Exportação"/>
    <x v="7"/>
    <x v="7"/>
    <n v="220576239"/>
    <n v="100"/>
    <s v="Total"/>
  </r>
  <r>
    <s v="Leme - SP"/>
    <s v="Exportação"/>
    <x v="8"/>
    <x v="10"/>
    <n v="157924340"/>
    <n v="50.119637510797268"/>
    <s v="Top 5"/>
  </r>
  <r>
    <s v="Leme - SP"/>
    <s v="Exportação"/>
    <x v="8"/>
    <x v="11"/>
    <n v="97315978"/>
    <n v="30.88467263101256"/>
    <s v="Top 5"/>
  </r>
  <r>
    <s v="Leme - SP"/>
    <s v="Exportação"/>
    <x v="8"/>
    <x v="12"/>
    <n v="18964579"/>
    <n v="6.0186911341524567"/>
    <s v="Top 5"/>
  </r>
  <r>
    <s v="Leme - SP"/>
    <s v="Exportação"/>
    <x v="8"/>
    <x v="14"/>
    <n v="15008179"/>
    <n v="4.7630687655693853"/>
    <s v="Top 5"/>
  </r>
  <r>
    <s v="Leme - SP"/>
    <s v="Exportação"/>
    <x v="8"/>
    <x v="15"/>
    <n v="10963039"/>
    <n v="3.4792834384917071"/>
    <s v="Top 5"/>
  </r>
  <r>
    <s v="Leme - SP"/>
    <s v="Exportação"/>
    <x v="8"/>
    <x v="5"/>
    <n v="300176115"/>
    <n v="95.265353480023379"/>
    <s v="Total"/>
  </r>
  <r>
    <s v="Leme - SP"/>
    <s v="Exportação"/>
    <x v="8"/>
    <x v="6"/>
    <n v="14918622"/>
    <n v="4.7346465199766259"/>
    <s v="Total"/>
  </r>
  <r>
    <s v="Leme - SP"/>
    <s v="Exportação"/>
    <x v="8"/>
    <x v="7"/>
    <n v="315094737"/>
    <n v="100"/>
    <s v="Total"/>
  </r>
  <r>
    <s v="Leme - SP"/>
    <s v="Exportação"/>
    <x v="9"/>
    <x v="10"/>
    <n v="71648106"/>
    <n v="44.744894525658111"/>
    <s v="Top 5"/>
  </r>
  <r>
    <s v="Leme - SP"/>
    <s v="Exportação"/>
    <x v="9"/>
    <x v="11"/>
    <n v="40036149"/>
    <n v="25.00293956435544"/>
    <s v="Top 5"/>
  </r>
  <r>
    <s v="Leme - SP"/>
    <s v="Exportação"/>
    <x v="9"/>
    <x v="13"/>
    <n v="16088686"/>
    <n v="10.04753088834522"/>
    <s v="Top 5"/>
  </r>
  <r>
    <s v="Leme - SP"/>
    <s v="Exportação"/>
    <x v="9"/>
    <x v="14"/>
    <n v="13667615"/>
    <n v="8.5355500059178482"/>
    <s v="Top 5"/>
  </r>
  <r>
    <s v="Leme - SP"/>
    <s v="Exportação"/>
    <x v="9"/>
    <x v="15"/>
    <n v="8255800"/>
    <n v="5.155822265907883"/>
    <s v="Top 5"/>
  </r>
  <r>
    <s v="Leme - SP"/>
    <s v="Exportação"/>
    <x v="9"/>
    <x v="5"/>
    <n v="149696356"/>
    <n v="93.48673725018449"/>
    <s v="Total"/>
  </r>
  <r>
    <s v="Leme - SP"/>
    <s v="Exportação"/>
    <x v="9"/>
    <x v="6"/>
    <n v="10429412"/>
    <n v="6.5132627498155067"/>
    <s v="Total"/>
  </r>
  <r>
    <s v="Leme - SP"/>
    <s v="Exportação"/>
    <x v="9"/>
    <x v="7"/>
    <n v="160125768"/>
    <n v="100"/>
    <s v="Total"/>
  </r>
  <r>
    <s v="Leme - SP"/>
    <s v="Exportação"/>
    <x v="10"/>
    <x v="10"/>
    <n v="138051845"/>
    <n v="51.638455446174888"/>
    <s v="Top 5"/>
  </r>
  <r>
    <s v="Leme - SP"/>
    <s v="Exportação"/>
    <x v="10"/>
    <x v="11"/>
    <n v="60669307"/>
    <n v="22.693425839182421"/>
    <s v="Top 5"/>
  </r>
  <r>
    <s v="Leme - SP"/>
    <s v="Exportação"/>
    <x v="10"/>
    <x v="14"/>
    <n v="21588063"/>
    <n v="8.0750404269839091"/>
    <s v="Top 5"/>
  </r>
  <r>
    <s v="Leme - SP"/>
    <s v="Exportação"/>
    <x v="10"/>
    <x v="1"/>
    <n v="17778536"/>
    <n v="6.6500823595238163"/>
    <s v="Top 5"/>
  </r>
  <r>
    <s v="Leme - SP"/>
    <s v="Exportação"/>
    <x v="10"/>
    <x v="13"/>
    <n v="15176550"/>
    <n v="5.6768064273363787"/>
    <s v="Top 5"/>
  </r>
  <r>
    <s v="Leme - SP"/>
    <s v="Exportação"/>
    <x v="10"/>
    <x v="5"/>
    <n v="253264301"/>
    <n v="94.733810499201411"/>
    <s v="Total"/>
  </r>
  <r>
    <s v="Leme - SP"/>
    <s v="Exportação"/>
    <x v="10"/>
    <x v="6"/>
    <n v="14078794"/>
    <n v="5.2661895007985899"/>
    <s v="Total"/>
  </r>
  <r>
    <s v="Leme - SP"/>
    <s v="Exportação"/>
    <x v="10"/>
    <x v="7"/>
    <n v="267343095"/>
    <n v="100"/>
    <s v="Total"/>
  </r>
  <r>
    <s v="Leme - SP"/>
    <s v="Exportação"/>
    <x v="11"/>
    <x v="11"/>
    <n v="124605446"/>
    <n v="39.694221443567059"/>
    <s v="Top 5"/>
  </r>
  <r>
    <s v="Leme - SP"/>
    <s v="Exportação"/>
    <x v="11"/>
    <x v="10"/>
    <n v="120996374"/>
    <n v="38.544518057618923"/>
    <s v="Top 5"/>
  </r>
  <r>
    <s v="Leme - SP"/>
    <s v="Exportação"/>
    <x v="11"/>
    <x v="1"/>
    <n v="25090352"/>
    <n v="7.9927645247948931"/>
    <s v="Top 5"/>
  </r>
  <r>
    <s v="Leme - SP"/>
    <s v="Exportação"/>
    <x v="11"/>
    <x v="14"/>
    <n v="12233213"/>
    <n v="3.8970035530254701"/>
    <s v="Top 5"/>
  </r>
  <r>
    <s v="Leme - SP"/>
    <s v="Exportação"/>
    <x v="11"/>
    <x v="13"/>
    <n v="12022062"/>
    <n v="3.8297394420167858"/>
    <s v="Top 5"/>
  </r>
  <r>
    <s v="Leme - SP"/>
    <s v="Exportação"/>
    <x v="11"/>
    <x v="5"/>
    <n v="294947447"/>
    <n v="93.958247021023141"/>
    <s v="Total"/>
  </r>
  <r>
    <s v="Leme - SP"/>
    <s v="Exportação"/>
    <x v="11"/>
    <x v="6"/>
    <n v="18965867"/>
    <n v="6.0417529789768647"/>
    <s v="Total"/>
  </r>
  <r>
    <s v="Leme - SP"/>
    <s v="Exportação"/>
    <x v="11"/>
    <x v="7"/>
    <n v="313913314"/>
    <n v="100"/>
    <s v="Total"/>
  </r>
  <r>
    <s v="Leme - SP"/>
    <s v="Exportação"/>
    <x v="12"/>
    <x v="11"/>
    <n v="97505106"/>
    <n v="27.53546765164565"/>
    <s v="Top 5"/>
  </r>
  <r>
    <s v="Leme - SP"/>
    <s v="Exportação"/>
    <x v="12"/>
    <x v="10"/>
    <n v="79375097"/>
    <n v="22.415548328204839"/>
    <s v="Top 5"/>
  </r>
  <r>
    <s v="Leme - SP"/>
    <s v="Exportação"/>
    <x v="12"/>
    <x v="1"/>
    <n v="47193269"/>
    <n v="13.327391612957291"/>
    <s v="Top 5"/>
  </r>
  <r>
    <s v="Leme - SP"/>
    <s v="Exportação"/>
    <x v="12"/>
    <x v="16"/>
    <n v="42000002"/>
    <n v="11.860811642418531"/>
    <s v="Top 5"/>
  </r>
  <r>
    <s v="Leme - SP"/>
    <s v="Exportação"/>
    <x v="12"/>
    <x v="12"/>
    <n v="39822403"/>
    <n v="11.24585711047067"/>
    <s v="Top 5"/>
  </r>
  <r>
    <s v="Leme - SP"/>
    <s v="Exportação"/>
    <x v="12"/>
    <x v="5"/>
    <n v="305895877"/>
    <n v="86.385076345696987"/>
    <s v="Total"/>
  </r>
  <r>
    <s v="Leme - SP"/>
    <s v="Exportação"/>
    <x v="12"/>
    <x v="6"/>
    <n v="48211441"/>
    <n v="13.61492365430302"/>
    <s v="Total"/>
  </r>
  <r>
    <s v="Leme - SP"/>
    <s v="Exportação"/>
    <x v="12"/>
    <x v="7"/>
    <n v="354107318"/>
    <n v="100"/>
    <s v="Total"/>
  </r>
  <r>
    <s v="Leme - SP"/>
    <s v="Exportação"/>
    <x v="13"/>
    <x v="16"/>
    <n v="49208127"/>
    <n v="24.02510132280085"/>
    <s v="Top 5"/>
  </r>
  <r>
    <s v="Leme - SP"/>
    <s v="Exportação"/>
    <x v="13"/>
    <x v="11"/>
    <n v="35418299"/>
    <n v="17.292432653578871"/>
    <s v="Top 5"/>
  </r>
  <r>
    <s v="Leme - SP"/>
    <s v="Exportação"/>
    <x v="13"/>
    <x v="1"/>
    <n v="34122765"/>
    <n v="16.659908363086501"/>
    <s v="Top 5"/>
  </r>
  <r>
    <s v="Leme - SP"/>
    <s v="Exportação"/>
    <x v="13"/>
    <x v="10"/>
    <n v="27080868"/>
    <n v="13.22181186878735"/>
    <s v="Top 5"/>
  </r>
  <r>
    <s v="Leme - SP"/>
    <s v="Exportação"/>
    <x v="13"/>
    <x v="13"/>
    <n v="17711471"/>
    <n v="8.6473497629944127"/>
    <s v="Top 5"/>
  </r>
  <r>
    <s v="Leme - SP"/>
    <s v="Exportação"/>
    <x v="13"/>
    <x v="5"/>
    <n v="163541530"/>
    <n v="79.846603971247987"/>
    <s v="Total"/>
  </r>
  <r>
    <s v="Leme - SP"/>
    <s v="Exportação"/>
    <x v="13"/>
    <x v="6"/>
    <n v="41278114"/>
    <n v="20.15339602875201"/>
    <s v="Total"/>
  </r>
  <r>
    <s v="Leme - SP"/>
    <s v="Exportação"/>
    <x v="13"/>
    <x v="7"/>
    <n v="204819644"/>
    <n v="100"/>
    <s v="Total"/>
  </r>
  <r>
    <s v="Leme - SP"/>
    <s v="Exportação"/>
    <x v="14"/>
    <x v="10"/>
    <n v="262068749"/>
    <n v="47.442238188305311"/>
    <s v="Top 5"/>
  </r>
  <r>
    <s v="Leme - SP"/>
    <s v="Exportação"/>
    <x v="14"/>
    <x v="11"/>
    <n v="104334482"/>
    <n v="18.88764442607178"/>
    <s v="Top 5"/>
  </r>
  <r>
    <s v="Leme - SP"/>
    <s v="Exportação"/>
    <x v="14"/>
    <x v="16"/>
    <n v="75791878"/>
    <n v="13.7205841693661"/>
    <s v="Top 5"/>
  </r>
  <r>
    <s v="Leme - SP"/>
    <s v="Exportação"/>
    <x v="14"/>
    <x v="1"/>
    <n v="36975460"/>
    <n v="6.6936580081975183"/>
    <s v="Top 5"/>
  </r>
  <r>
    <s v="Leme - SP"/>
    <s v="Exportação"/>
    <x v="14"/>
    <x v="14"/>
    <n v="23187426"/>
    <n v="4.19761376151608"/>
    <s v="Top 5"/>
  </r>
  <r>
    <s v="Leme - SP"/>
    <s v="Exportação"/>
    <x v="14"/>
    <x v="5"/>
    <n v="502357995"/>
    <n v="90.941738553456787"/>
    <s v="Total"/>
  </r>
  <r>
    <s v="Leme - SP"/>
    <s v="Exportação"/>
    <x v="14"/>
    <x v="6"/>
    <n v="50037421"/>
    <n v="9.058261446543213"/>
    <s v="Total"/>
  </r>
  <r>
    <s v="Leme - SP"/>
    <s v="Exportação"/>
    <x v="14"/>
    <x v="7"/>
    <n v="552395416"/>
    <n v="100"/>
    <s v="Total"/>
  </r>
  <r>
    <s v="Leme - SP"/>
    <s v="Exportação"/>
    <x v="15"/>
    <x v="1"/>
    <n v="50752077"/>
    <n v="54.930444776175882"/>
    <s v="Top 5"/>
  </r>
  <r>
    <s v="Leme - SP"/>
    <s v="Exportação"/>
    <x v="15"/>
    <x v="13"/>
    <n v="11969837"/>
    <n v="12.955301717175571"/>
    <s v="Top 5"/>
  </r>
  <r>
    <s v="Leme - SP"/>
    <s v="Exportação"/>
    <x v="15"/>
    <x v="0"/>
    <n v="8586519"/>
    <n v="9.2934385276307978"/>
    <s v="Top 5"/>
  </r>
  <r>
    <s v="Leme - SP"/>
    <s v="Exportação"/>
    <x v="15"/>
    <x v="2"/>
    <n v="7592229"/>
    <n v="8.2172896256557344"/>
    <s v="Top 5"/>
  </r>
  <r>
    <s v="Leme - SP"/>
    <s v="Exportação"/>
    <x v="15"/>
    <x v="14"/>
    <n v="4357798"/>
    <n v="4.7165711540185766"/>
    <s v="Top 5"/>
  </r>
  <r>
    <s v="Leme - SP"/>
    <s v="Exportação"/>
    <x v="15"/>
    <x v="5"/>
    <n v="83258460"/>
    <n v="90.11304580065655"/>
    <s v="Total"/>
  </r>
  <r>
    <s v="Leme - SP"/>
    <s v="Exportação"/>
    <x v="15"/>
    <x v="6"/>
    <n v="9134888"/>
    <n v="9.8869541993434424"/>
    <s v="Total"/>
  </r>
  <r>
    <s v="Leme - SP"/>
    <s v="Exportação"/>
    <x v="15"/>
    <x v="7"/>
    <n v="92393348"/>
    <n v="100"/>
    <s v="Total"/>
  </r>
  <r>
    <s v="Leme - SP"/>
    <s v="Exportação"/>
    <x v="16"/>
    <x v="1"/>
    <n v="76661923"/>
    <n v="47.067043135445488"/>
    <s v="Top 5"/>
  </r>
  <r>
    <s v="Leme - SP"/>
    <s v="Exportação"/>
    <x v="16"/>
    <x v="14"/>
    <n v="54194397"/>
    <n v="33.272972050263569"/>
    <s v="Top 5"/>
  </r>
  <r>
    <s v="Leme - SP"/>
    <s v="Exportação"/>
    <x v="16"/>
    <x v="13"/>
    <n v="13947167"/>
    <n v="8.5629460508871116"/>
    <s v="Top 5"/>
  </r>
  <r>
    <s v="Leme - SP"/>
    <s v="Exportação"/>
    <x v="16"/>
    <x v="0"/>
    <n v="5992849"/>
    <n v="3.6793452518430998"/>
    <s v="Top 5"/>
  </r>
  <r>
    <s v="Leme - SP"/>
    <s v="Exportação"/>
    <x v="16"/>
    <x v="3"/>
    <n v="4903974"/>
    <n v="3.0108239757187301"/>
    <s v="Top 5"/>
  </r>
  <r>
    <s v="Leme - SP"/>
    <s v="Exportação"/>
    <x v="16"/>
    <x v="5"/>
    <n v="155700310"/>
    <n v="95.593130464157994"/>
    <s v="Total"/>
  </r>
  <r>
    <s v="Leme - SP"/>
    <s v="Exportação"/>
    <x v="16"/>
    <x v="6"/>
    <n v="7177827"/>
    <n v="4.4068695358420023"/>
    <s v="Total"/>
  </r>
  <r>
    <s v="Leme - SP"/>
    <s v="Exportação"/>
    <x v="16"/>
    <x v="7"/>
    <n v="162878137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Leme - SP"/>
    <s v="Importação"/>
    <x v="0"/>
    <x v="0"/>
    <n v="12117344"/>
    <n v="45.248598834406479"/>
    <s v="Top 5"/>
  </r>
  <r>
    <s v="Leme - SP"/>
    <s v="Importação"/>
    <x v="0"/>
    <x v="1"/>
    <n v="5044615"/>
    <n v="18.837606690792089"/>
    <s v="Top 5"/>
  </r>
  <r>
    <s v="Leme - SP"/>
    <s v="Importação"/>
    <x v="0"/>
    <x v="2"/>
    <n v="3673692"/>
    <n v="13.718304568160191"/>
    <s v="Top 5"/>
  </r>
  <r>
    <s v="Leme - SP"/>
    <s v="Importação"/>
    <x v="0"/>
    <x v="3"/>
    <n v="2436136"/>
    <n v="9.0970216385748941"/>
    <s v="Top 5"/>
  </r>
  <r>
    <s v="Leme - SP"/>
    <s v="Importação"/>
    <x v="0"/>
    <x v="4"/>
    <n v="967595"/>
    <n v="3.613194276664716"/>
    <s v="Top 5"/>
  </r>
  <r>
    <s v="Leme - SP"/>
    <s v="Importação"/>
    <x v="0"/>
    <x v="5"/>
    <n v="24239382"/>
    <n v="90.514726008598373"/>
    <s v="Total"/>
  </r>
  <r>
    <s v="Leme - SP"/>
    <s v="Importação"/>
    <x v="0"/>
    <x v="6"/>
    <n v="2540108"/>
    <n v="9.4852739914016286"/>
    <s v="Total"/>
  </r>
  <r>
    <s v="Leme - SP"/>
    <s v="Importação"/>
    <x v="0"/>
    <x v="7"/>
    <n v="26779490"/>
    <n v="100"/>
    <s v="Total"/>
  </r>
  <r>
    <s v="Leme - SP"/>
    <s v="Importação"/>
    <x v="1"/>
    <x v="0"/>
    <n v="13343643"/>
    <n v="44.46216484755324"/>
    <s v="Top 5"/>
  </r>
  <r>
    <s v="Leme - SP"/>
    <s v="Importação"/>
    <x v="1"/>
    <x v="1"/>
    <n v="4942151"/>
    <n v="16.46767171929735"/>
    <s v="Top 5"/>
  </r>
  <r>
    <s v="Leme - SP"/>
    <s v="Importação"/>
    <x v="1"/>
    <x v="2"/>
    <n v="3120923"/>
    <n v="10.39918355898164"/>
    <s v="Top 5"/>
  </r>
  <r>
    <s v="Leme - SP"/>
    <s v="Importação"/>
    <x v="1"/>
    <x v="3"/>
    <n v="2201535"/>
    <n v="7.335703757036824"/>
    <s v="Top 5"/>
  </r>
  <r>
    <s v="Leme - SP"/>
    <s v="Importação"/>
    <x v="1"/>
    <x v="8"/>
    <n v="1983305"/>
    <n v="6.608542648583791"/>
    <s v="Top 5"/>
  </r>
  <r>
    <s v="Leme - SP"/>
    <s v="Importação"/>
    <x v="1"/>
    <x v="5"/>
    <n v="25591557"/>
    <n v="85.273266531452833"/>
    <s v="Total"/>
  </r>
  <r>
    <s v="Leme - SP"/>
    <s v="Importação"/>
    <x v="1"/>
    <x v="6"/>
    <n v="4419674"/>
    <n v="14.72673346854716"/>
    <s v="Total"/>
  </r>
  <r>
    <s v="Leme - SP"/>
    <s v="Importação"/>
    <x v="1"/>
    <x v="7"/>
    <n v="30011231"/>
    <n v="100"/>
    <s v="Total"/>
  </r>
  <r>
    <s v="Leme - SP"/>
    <s v="Importação"/>
    <x v="2"/>
    <x v="0"/>
    <n v="12311593"/>
    <n v="38.782709975373812"/>
    <s v="Top 5"/>
  </r>
  <r>
    <s v="Leme - SP"/>
    <s v="Importação"/>
    <x v="2"/>
    <x v="1"/>
    <n v="7514511"/>
    <n v="23.671437215294251"/>
    <s v="Top 5"/>
  </r>
  <r>
    <s v="Leme - SP"/>
    <s v="Importação"/>
    <x v="2"/>
    <x v="2"/>
    <n v="3926456"/>
    <n v="12.36871656487234"/>
    <s v="Top 5"/>
  </r>
  <r>
    <s v="Leme - SP"/>
    <s v="Importação"/>
    <x v="2"/>
    <x v="3"/>
    <n v="1736922"/>
    <n v="5.4714724711778739"/>
    <s v="Top 5"/>
  </r>
  <r>
    <s v="Leme - SP"/>
    <s v="Importação"/>
    <x v="2"/>
    <x v="9"/>
    <n v="843141"/>
    <n v="2.6559757840716989"/>
    <s v="Top 5"/>
  </r>
  <r>
    <s v="Leme - SP"/>
    <s v="Importação"/>
    <x v="2"/>
    <x v="5"/>
    <n v="26332623"/>
    <n v="82.950312010789958"/>
    <s v="Total"/>
  </r>
  <r>
    <s v="Leme - SP"/>
    <s v="Importação"/>
    <x v="2"/>
    <x v="6"/>
    <n v="5412433"/>
    <n v="17.049687989210039"/>
    <s v="Total"/>
  </r>
  <r>
    <s v="Leme - SP"/>
    <s v="Importação"/>
    <x v="2"/>
    <x v="7"/>
    <n v="31745056"/>
    <n v="100"/>
    <s v="Total"/>
  </r>
  <r>
    <s v="Leme - SP"/>
    <s v="Importação"/>
    <x v="3"/>
    <x v="1"/>
    <n v="12724933"/>
    <n v="31.245714894671309"/>
    <s v="Top 5"/>
  </r>
  <r>
    <s v="Leme - SP"/>
    <s v="Importação"/>
    <x v="3"/>
    <x v="0"/>
    <n v="9128681"/>
    <n v="22.41521930924139"/>
    <s v="Top 5"/>
  </r>
  <r>
    <s v="Leme - SP"/>
    <s v="Importação"/>
    <x v="3"/>
    <x v="2"/>
    <n v="6507413"/>
    <n v="15.978769499208971"/>
    <s v="Top 5"/>
  </r>
  <r>
    <s v="Leme - SP"/>
    <s v="Importação"/>
    <x v="3"/>
    <x v="9"/>
    <n v="3326803"/>
    <n v="8.1688711483775354"/>
    <s v="Top 5"/>
  </r>
  <r>
    <s v="Leme - SP"/>
    <s v="Importação"/>
    <x v="3"/>
    <x v="3"/>
    <n v="1471892"/>
    <n v="3.6141893861246688"/>
    <s v="Top 5"/>
  </r>
  <r>
    <s v="Leme - SP"/>
    <s v="Importação"/>
    <x v="3"/>
    <x v="5"/>
    <n v="33159722"/>
    <n v="81.422764237623866"/>
    <s v="Total"/>
  </r>
  <r>
    <s v="Leme - SP"/>
    <s v="Importação"/>
    <x v="3"/>
    <x v="6"/>
    <n v="7565648"/>
    <n v="18.57723576237613"/>
    <s v="Total"/>
  </r>
  <r>
    <s v="Leme - SP"/>
    <s v="Importação"/>
    <x v="3"/>
    <x v="7"/>
    <n v="40725370"/>
    <n v="100"/>
    <s v="Total"/>
  </r>
  <r>
    <s v="Leme - SP"/>
    <s v="Importação"/>
    <x v="4"/>
    <x v="0"/>
    <n v="16179959"/>
    <n v="32.167739560254752"/>
    <s v="Top 5"/>
  </r>
  <r>
    <s v="Leme - SP"/>
    <s v="Importação"/>
    <x v="4"/>
    <x v="2"/>
    <n v="10220867"/>
    <n v="20.32033503521253"/>
    <s v="Top 5"/>
  </r>
  <r>
    <s v="Leme - SP"/>
    <s v="Importação"/>
    <x v="4"/>
    <x v="1"/>
    <n v="8942757"/>
    <n v="17.77929586389218"/>
    <s v="Top 5"/>
  </r>
  <r>
    <s v="Leme - SP"/>
    <s v="Importação"/>
    <x v="4"/>
    <x v="10"/>
    <n v="3027296"/>
    <n v="6.0186351090136254"/>
    <s v="Top 5"/>
  </r>
  <r>
    <s v="Leme - SP"/>
    <s v="Importação"/>
    <x v="4"/>
    <x v="3"/>
    <n v="2513612"/>
    <n v="4.9973684217327783"/>
    <s v="Top 5"/>
  </r>
  <r>
    <s v="Leme - SP"/>
    <s v="Importação"/>
    <x v="4"/>
    <x v="5"/>
    <n v="40884491"/>
    <n v="81.283373990105872"/>
    <s v="Total"/>
  </r>
  <r>
    <s v="Leme - SP"/>
    <s v="Importação"/>
    <x v="4"/>
    <x v="6"/>
    <n v="9414222"/>
    <n v="18.716626009894131"/>
    <s v="Total"/>
  </r>
  <r>
    <s v="Leme - SP"/>
    <s v="Importação"/>
    <x v="4"/>
    <x v="7"/>
    <n v="50298713"/>
    <n v="100"/>
    <s v="Total"/>
  </r>
  <r>
    <s v="Leme - SP"/>
    <s v="Importação"/>
    <x v="5"/>
    <x v="0"/>
    <n v="17238312"/>
    <n v="32.776347062947927"/>
    <s v="Top 5"/>
  </r>
  <r>
    <s v="Leme - SP"/>
    <s v="Importação"/>
    <x v="5"/>
    <x v="1"/>
    <n v="12343230"/>
    <n v="23.469002670202901"/>
    <s v="Top 5"/>
  </r>
  <r>
    <s v="Leme - SP"/>
    <s v="Importação"/>
    <x v="5"/>
    <x v="2"/>
    <n v="8345500"/>
    <n v="15.86785321055982"/>
    <s v="Top 5"/>
  </r>
  <r>
    <s v="Leme - SP"/>
    <s v="Importação"/>
    <x v="5"/>
    <x v="3"/>
    <n v="2036877"/>
    <n v="3.8728494690510411"/>
    <s v="Top 5"/>
  </r>
  <r>
    <s v="Leme - SP"/>
    <s v="Importação"/>
    <x v="5"/>
    <x v="10"/>
    <n v="2023995"/>
    <n v="3.848356067210716"/>
    <s v="Top 5"/>
  </r>
  <r>
    <s v="Leme - SP"/>
    <s v="Importação"/>
    <x v="5"/>
    <x v="5"/>
    <n v="41987914"/>
    <n v="79.83440847997241"/>
    <s v="Total"/>
  </r>
  <r>
    <s v="Leme - SP"/>
    <s v="Importação"/>
    <x v="5"/>
    <x v="6"/>
    <n v="10605842"/>
    <n v="20.16559152002759"/>
    <s v="Total"/>
  </r>
  <r>
    <s v="Leme - SP"/>
    <s v="Importação"/>
    <x v="5"/>
    <x v="7"/>
    <n v="52593756"/>
    <n v="100"/>
    <s v="Total"/>
  </r>
  <r>
    <s v="Leme - SP"/>
    <s v="Importação"/>
    <x v="6"/>
    <x v="0"/>
    <n v="16919545"/>
    <n v="28.569109258928279"/>
    <s v="Top 5"/>
  </r>
  <r>
    <s v="Leme - SP"/>
    <s v="Importação"/>
    <x v="6"/>
    <x v="1"/>
    <n v="13998027"/>
    <n v="23.63604711429462"/>
    <s v="Top 5"/>
  </r>
  <r>
    <s v="Leme - SP"/>
    <s v="Importação"/>
    <x v="6"/>
    <x v="2"/>
    <n v="9665630"/>
    <n v="16.320677626163999"/>
    <s v="Top 5"/>
  </r>
  <r>
    <s v="Leme - SP"/>
    <s v="Importação"/>
    <x v="6"/>
    <x v="10"/>
    <n v="2607014"/>
    <n v="4.4020136360378279"/>
    <s v="Top 5"/>
  </r>
  <r>
    <s v="Leme - SP"/>
    <s v="Importação"/>
    <x v="6"/>
    <x v="11"/>
    <n v="2312979"/>
    <n v="3.905527587450293"/>
    <s v="Top 5"/>
  </r>
  <r>
    <s v="Leme - SP"/>
    <s v="Importação"/>
    <x v="6"/>
    <x v="5"/>
    <n v="45503195"/>
    <n v="76.83337522287502"/>
    <s v="Total"/>
  </r>
  <r>
    <s v="Leme - SP"/>
    <s v="Importação"/>
    <x v="6"/>
    <x v="6"/>
    <n v="13720020"/>
    <n v="23.16662477712498"/>
    <s v="Total"/>
  </r>
  <r>
    <s v="Leme - SP"/>
    <s v="Importação"/>
    <x v="6"/>
    <x v="7"/>
    <n v="59223215"/>
    <n v="100"/>
    <s v="Total"/>
  </r>
  <r>
    <s v="Leme - SP"/>
    <s v="Importação"/>
    <x v="7"/>
    <x v="0"/>
    <n v="12578136"/>
    <n v="27.946035895004108"/>
    <s v="Top 5"/>
  </r>
  <r>
    <s v="Leme - SP"/>
    <s v="Importação"/>
    <x v="7"/>
    <x v="1"/>
    <n v="9318466"/>
    <n v="20.70371836672583"/>
    <s v="Top 5"/>
  </r>
  <r>
    <s v="Leme - SP"/>
    <s v="Importação"/>
    <x v="7"/>
    <x v="2"/>
    <n v="8214957"/>
    <n v="18.251947919621418"/>
    <s v="Top 5"/>
  </r>
  <r>
    <s v="Leme - SP"/>
    <s v="Importação"/>
    <x v="7"/>
    <x v="10"/>
    <n v="2765400"/>
    <n v="6.1441510621322886"/>
    <s v="Top 5"/>
  </r>
  <r>
    <s v="Leme - SP"/>
    <s v="Importação"/>
    <x v="7"/>
    <x v="12"/>
    <n v="2119952"/>
    <n v="4.7100981168979059"/>
    <s v="Top 5"/>
  </r>
  <r>
    <s v="Leme - SP"/>
    <s v="Importação"/>
    <x v="7"/>
    <x v="5"/>
    <n v="34996911"/>
    <n v="77.755951360381573"/>
    <s v="Total"/>
  </r>
  <r>
    <s v="Leme - SP"/>
    <s v="Importação"/>
    <x v="7"/>
    <x v="6"/>
    <n v="10011748"/>
    <n v="22.24404863961843"/>
    <s v="Total"/>
  </r>
  <r>
    <s v="Leme - SP"/>
    <s v="Importação"/>
    <x v="7"/>
    <x v="7"/>
    <n v="45008659"/>
    <n v="100"/>
    <s v="Total"/>
  </r>
  <r>
    <s v="Leme - SP"/>
    <s v="Importação"/>
    <x v="8"/>
    <x v="0"/>
    <n v="7676769"/>
    <n v="18.778721153357861"/>
    <s v="Top 5"/>
  </r>
  <r>
    <s v="Leme - SP"/>
    <s v="Importação"/>
    <x v="8"/>
    <x v="1"/>
    <n v="6587279"/>
    <n v="16.113637846907992"/>
    <s v="Top 5"/>
  </r>
  <r>
    <s v="Leme - SP"/>
    <s v="Importação"/>
    <x v="8"/>
    <x v="11"/>
    <n v="6032517"/>
    <n v="14.75659285773623"/>
    <s v="Top 5"/>
  </r>
  <r>
    <s v="Leme - SP"/>
    <s v="Importação"/>
    <x v="8"/>
    <x v="2"/>
    <n v="5606157"/>
    <n v="13.713641643371741"/>
    <s v="Top 5"/>
  </r>
  <r>
    <s v="Leme - SP"/>
    <s v="Importação"/>
    <x v="8"/>
    <x v="10"/>
    <n v="2386476"/>
    <n v="5.8377381608305328"/>
    <s v="Top 5"/>
  </r>
  <r>
    <s v="Leme - SP"/>
    <s v="Importação"/>
    <x v="8"/>
    <x v="5"/>
    <n v="28289198"/>
    <n v="69.200331662204349"/>
    <s v="Total"/>
  </r>
  <r>
    <s v="Leme - SP"/>
    <s v="Importação"/>
    <x v="8"/>
    <x v="6"/>
    <n v="12590950"/>
    <n v="30.799668337795641"/>
    <s v="Total"/>
  </r>
  <r>
    <s v="Leme - SP"/>
    <s v="Importação"/>
    <x v="8"/>
    <x v="7"/>
    <n v="40880148"/>
    <n v="100"/>
    <s v="Total"/>
  </r>
  <r>
    <s v="Leme - SP"/>
    <s v="Importação"/>
    <x v="9"/>
    <x v="0"/>
    <n v="9323900"/>
    <n v="21.519874766095221"/>
    <s v="Top 5"/>
  </r>
  <r>
    <s v="Leme - SP"/>
    <s v="Importação"/>
    <x v="9"/>
    <x v="1"/>
    <n v="7744764"/>
    <n v="17.875175771186161"/>
    <s v="Top 5"/>
  </r>
  <r>
    <s v="Leme - SP"/>
    <s v="Importação"/>
    <x v="9"/>
    <x v="11"/>
    <n v="5972787"/>
    <n v="13.785393262965229"/>
    <s v="Top 5"/>
  </r>
  <r>
    <s v="Leme - SP"/>
    <s v="Importação"/>
    <x v="9"/>
    <x v="2"/>
    <n v="4565780"/>
    <n v="10.53797378881608"/>
    <s v="Top 5"/>
  </r>
  <r>
    <s v="Leme - SP"/>
    <s v="Importação"/>
    <x v="9"/>
    <x v="13"/>
    <n v="2321641"/>
    <n v="5.358425505618043"/>
    <s v="Top 5"/>
  </r>
  <r>
    <s v="Leme - SP"/>
    <s v="Importação"/>
    <x v="9"/>
    <x v="5"/>
    <n v="29928872"/>
    <n v="69.076843094680726"/>
    <s v="Total"/>
  </r>
  <r>
    <s v="Leme - SP"/>
    <s v="Importação"/>
    <x v="9"/>
    <x v="6"/>
    <n v="13398053"/>
    <n v="30.923156905319271"/>
    <s v="Total"/>
  </r>
  <r>
    <s v="Leme - SP"/>
    <s v="Importação"/>
    <x v="9"/>
    <x v="7"/>
    <n v="43326925"/>
    <n v="100"/>
    <s v="Total"/>
  </r>
  <r>
    <s v="Leme - SP"/>
    <s v="Importação"/>
    <x v="10"/>
    <x v="0"/>
    <n v="10177888"/>
    <n v="21.313789488768531"/>
    <s v="Top 5"/>
  </r>
  <r>
    <s v="Leme - SP"/>
    <s v="Importação"/>
    <x v="10"/>
    <x v="1"/>
    <n v="8598284"/>
    <n v="18.005898192301458"/>
    <s v="Top 5"/>
  </r>
  <r>
    <s v="Leme - SP"/>
    <s v="Importação"/>
    <x v="10"/>
    <x v="13"/>
    <n v="5140788"/>
    <n v="10.7654626616433"/>
    <s v="Top 5"/>
  </r>
  <r>
    <s v="Leme - SP"/>
    <s v="Importação"/>
    <x v="10"/>
    <x v="2"/>
    <n v="4229841"/>
    <n v="8.8578240048389407"/>
    <s v="Top 5"/>
  </r>
  <r>
    <s v="Leme - SP"/>
    <s v="Importação"/>
    <x v="10"/>
    <x v="14"/>
    <n v="4114361"/>
    <n v="8.615994225403071"/>
    <s v="Top 5"/>
  </r>
  <r>
    <s v="Leme - SP"/>
    <s v="Importação"/>
    <x v="10"/>
    <x v="5"/>
    <n v="32261162"/>
    <n v="67.558968572955308"/>
    <s v="Total"/>
  </r>
  <r>
    <s v="Leme - SP"/>
    <s v="Importação"/>
    <x v="10"/>
    <x v="6"/>
    <n v="15491435"/>
    <n v="32.441031427044692"/>
    <s v="Total"/>
  </r>
  <r>
    <s v="Leme - SP"/>
    <s v="Importação"/>
    <x v="10"/>
    <x v="7"/>
    <n v="47752597"/>
    <n v="100"/>
    <s v="Total"/>
  </r>
  <r>
    <s v="Leme - SP"/>
    <s v="Importação"/>
    <x v="11"/>
    <x v="0"/>
    <n v="8541860"/>
    <n v="17.746196149997079"/>
    <s v="Top 5"/>
  </r>
  <r>
    <s v="Leme - SP"/>
    <s v="Importação"/>
    <x v="11"/>
    <x v="1"/>
    <n v="8040014"/>
    <n v="16.70358276683563"/>
    <s v="Top 5"/>
  </r>
  <r>
    <s v="Leme - SP"/>
    <s v="Importação"/>
    <x v="11"/>
    <x v="2"/>
    <n v="6543295"/>
    <n v="13.594064587489751"/>
    <s v="Top 5"/>
  </r>
  <r>
    <s v="Leme - SP"/>
    <s v="Importação"/>
    <x v="11"/>
    <x v="14"/>
    <n v="4735116"/>
    <n v="9.8374706830818557"/>
    <s v="Top 5"/>
  </r>
  <r>
    <s v="Leme - SP"/>
    <s v="Importação"/>
    <x v="11"/>
    <x v="15"/>
    <n v="3782840"/>
    <n v="7.8590635580605346"/>
    <s v="Top 5"/>
  </r>
  <r>
    <s v="Leme - SP"/>
    <s v="Importação"/>
    <x v="11"/>
    <x v="5"/>
    <n v="31643125"/>
    <n v="65.740377745464855"/>
    <s v="Total"/>
  </r>
  <r>
    <s v="Leme - SP"/>
    <s v="Importação"/>
    <x v="11"/>
    <x v="6"/>
    <n v="16490345"/>
    <n v="34.259622254535152"/>
    <s v="Total"/>
  </r>
  <r>
    <s v="Leme - SP"/>
    <s v="Importação"/>
    <x v="11"/>
    <x v="7"/>
    <n v="48133470"/>
    <n v="100"/>
    <s v="Total"/>
  </r>
  <r>
    <s v="Leme - SP"/>
    <s v="Importação"/>
    <x v="12"/>
    <x v="1"/>
    <n v="9051249"/>
    <n v="23.147766714984691"/>
    <s v="Top 5"/>
  </r>
  <r>
    <s v="Leme - SP"/>
    <s v="Importação"/>
    <x v="12"/>
    <x v="2"/>
    <n v="7266532"/>
    <n v="18.583511243914639"/>
    <s v="Top 5"/>
  </r>
  <r>
    <s v="Leme - SP"/>
    <s v="Importação"/>
    <x v="12"/>
    <x v="14"/>
    <n v="5142219"/>
    <n v="13.150769115882451"/>
    <s v="Top 5"/>
  </r>
  <r>
    <s v="Leme - SP"/>
    <s v="Importação"/>
    <x v="12"/>
    <x v="0"/>
    <n v="4737978"/>
    <n v="12.11695860369433"/>
    <s v="Top 5"/>
  </r>
  <r>
    <s v="Leme - SP"/>
    <s v="Importação"/>
    <x v="12"/>
    <x v="15"/>
    <n v="2028097"/>
    <n v="5.1866782398053912"/>
    <s v="Top 5"/>
  </r>
  <r>
    <s v="Leme - SP"/>
    <s v="Importação"/>
    <x v="12"/>
    <x v="5"/>
    <n v="28226075"/>
    <n v="72.185683918281498"/>
    <s v="Total"/>
  </r>
  <r>
    <s v="Leme - SP"/>
    <s v="Importação"/>
    <x v="12"/>
    <x v="6"/>
    <n v="10875965"/>
    <n v="27.814316081718498"/>
    <s v="Total"/>
  </r>
  <r>
    <s v="Leme - SP"/>
    <s v="Importação"/>
    <x v="12"/>
    <x v="7"/>
    <n v="39102040"/>
    <n v="100"/>
    <s v="Total"/>
  </r>
  <r>
    <s v="Leme - SP"/>
    <s v="Importação"/>
    <x v="13"/>
    <x v="2"/>
    <n v="9104267"/>
    <n v="18.571814287793242"/>
    <s v="Top 5"/>
  </r>
  <r>
    <s v="Leme - SP"/>
    <s v="Importação"/>
    <x v="13"/>
    <x v="1"/>
    <n v="8820746"/>
    <n v="17.993459175988029"/>
    <s v="Top 5"/>
  </r>
  <r>
    <s v="Leme - SP"/>
    <s v="Importação"/>
    <x v="13"/>
    <x v="14"/>
    <n v="7151743"/>
    <n v="14.588856283545431"/>
    <s v="Top 5"/>
  </r>
  <r>
    <s v="Leme - SP"/>
    <s v="Importação"/>
    <x v="13"/>
    <x v="0"/>
    <n v="5385609"/>
    <n v="10.98611565046015"/>
    <s v="Top 5"/>
  </r>
  <r>
    <s v="Leme - SP"/>
    <s v="Importação"/>
    <x v="13"/>
    <x v="15"/>
    <n v="3429991"/>
    <n v="6.9968461888038016"/>
    <s v="Top 5"/>
  </r>
  <r>
    <s v="Leme - SP"/>
    <s v="Importação"/>
    <x v="13"/>
    <x v="5"/>
    <n v="33892356"/>
    <n v="69.137091586590643"/>
    <s v="Total"/>
  </r>
  <r>
    <s v="Leme - SP"/>
    <s v="Importação"/>
    <x v="13"/>
    <x v="6"/>
    <n v="15129602"/>
    <n v="30.862908413409361"/>
    <s v="Total"/>
  </r>
  <r>
    <s v="Leme - SP"/>
    <s v="Importação"/>
    <x v="13"/>
    <x v="7"/>
    <n v="49021958"/>
    <n v="100"/>
    <s v="Total"/>
  </r>
  <r>
    <s v="Leme - SP"/>
    <s v="Importação"/>
    <x v="14"/>
    <x v="2"/>
    <n v="11858270"/>
    <n v="16.99180510118255"/>
    <s v="Top 5"/>
  </r>
  <r>
    <s v="Leme - SP"/>
    <s v="Importação"/>
    <x v="14"/>
    <x v="14"/>
    <n v="11025946"/>
    <n v="15.799161723266829"/>
    <s v="Top 5"/>
  </r>
  <r>
    <s v="Leme - SP"/>
    <s v="Importação"/>
    <x v="14"/>
    <x v="0"/>
    <n v="10471261"/>
    <n v="15.00434937605687"/>
    <s v="Top 5"/>
  </r>
  <r>
    <s v="Leme - SP"/>
    <s v="Importação"/>
    <x v="14"/>
    <x v="1"/>
    <n v="10393162"/>
    <n v="14.892440726093829"/>
    <s v="Top 5"/>
  </r>
  <r>
    <s v="Leme - SP"/>
    <s v="Importação"/>
    <x v="14"/>
    <x v="15"/>
    <n v="7353365"/>
    <n v="10.53669252916802"/>
    <s v="Top 5"/>
  </r>
  <r>
    <s v="Leme - SP"/>
    <s v="Importação"/>
    <x v="14"/>
    <x v="5"/>
    <n v="51102004"/>
    <n v="73.224449455768081"/>
    <s v="Total"/>
  </r>
  <r>
    <s v="Leme - SP"/>
    <s v="Importação"/>
    <x v="14"/>
    <x v="6"/>
    <n v="18686167"/>
    <n v="26.775550544231908"/>
    <s v="Total"/>
  </r>
  <r>
    <s v="Leme - SP"/>
    <s v="Importação"/>
    <x v="14"/>
    <x v="7"/>
    <n v="69788171"/>
    <n v="100"/>
    <s v="Total"/>
  </r>
  <r>
    <s v="Leme - SP"/>
    <s v="Importação"/>
    <x v="15"/>
    <x v="2"/>
    <n v="15475868"/>
    <n v="28.278139693301259"/>
    <s v="Top 5"/>
  </r>
  <r>
    <s v="Leme - SP"/>
    <s v="Importação"/>
    <x v="15"/>
    <x v="1"/>
    <n v="10588459"/>
    <n v="19.347665845870029"/>
    <s v="Top 5"/>
  </r>
  <r>
    <s v="Leme - SP"/>
    <s v="Importação"/>
    <x v="15"/>
    <x v="0"/>
    <n v="8511421"/>
    <n v="15.552416964689661"/>
    <s v="Top 5"/>
  </r>
  <r>
    <s v="Leme - SP"/>
    <s v="Importação"/>
    <x v="15"/>
    <x v="13"/>
    <n v="6749896"/>
    <n v="12.333686356284209"/>
    <s v="Top 5"/>
  </r>
  <r>
    <s v="Leme - SP"/>
    <s v="Importação"/>
    <x v="15"/>
    <x v="16"/>
    <n v="3058299"/>
    <n v="5.5882491596518893"/>
    <s v="Top 5"/>
  </r>
  <r>
    <s v="Leme - SP"/>
    <s v="Importação"/>
    <x v="15"/>
    <x v="5"/>
    <n v="44383943"/>
    <n v="81.10015801979705"/>
    <s v="Total"/>
  </r>
  <r>
    <s v="Leme - SP"/>
    <s v="Importação"/>
    <x v="15"/>
    <x v="6"/>
    <n v="10343377"/>
    <n v="18.89984198020294"/>
    <s v="Total"/>
  </r>
  <r>
    <s v="Leme - SP"/>
    <s v="Importação"/>
    <x v="15"/>
    <x v="7"/>
    <n v="54727320"/>
    <n v="100"/>
    <s v="Total"/>
  </r>
  <r>
    <s v="Leme - SP"/>
    <s v="Importação"/>
    <x v="16"/>
    <x v="1"/>
    <n v="14417455"/>
    <n v="20.65973151909062"/>
    <s v="Top 5"/>
  </r>
  <r>
    <s v="Leme - SP"/>
    <s v="Importação"/>
    <x v="16"/>
    <x v="2"/>
    <n v="13737864"/>
    <n v="19.68590031221046"/>
    <s v="Top 5"/>
  </r>
  <r>
    <s v="Leme - SP"/>
    <s v="Importação"/>
    <x v="16"/>
    <x v="0"/>
    <n v="13069393"/>
    <n v="18.72800369395863"/>
    <s v="Top 5"/>
  </r>
  <r>
    <s v="Leme - SP"/>
    <s v="Importação"/>
    <x v="16"/>
    <x v="14"/>
    <n v="8038111"/>
    <n v="11.518344616345191"/>
    <s v="Top 5"/>
  </r>
  <r>
    <s v="Leme - SP"/>
    <s v="Importação"/>
    <x v="16"/>
    <x v="13"/>
    <n v="5034241"/>
    <n v="7.2138992257925043"/>
    <s v="Top 5"/>
  </r>
  <r>
    <s v="Leme - SP"/>
    <s v="Importação"/>
    <x v="16"/>
    <x v="5"/>
    <n v="54297064"/>
    <n v="77.805879367397409"/>
    <s v="Total"/>
  </r>
  <r>
    <s v="Leme - SP"/>
    <s v="Importação"/>
    <x v="16"/>
    <x v="6"/>
    <n v="15488233"/>
    <n v="22.194120632602591"/>
    <s v="Total"/>
  </r>
  <r>
    <s v="Leme - SP"/>
    <s v="Importação"/>
    <x v="16"/>
    <x v="7"/>
    <n v="69785297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1F718-059B-4F0E-8417-6B1833DB8C1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22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8">
        <item x="13"/>
        <item x="2"/>
        <item x="12"/>
        <item x="10"/>
        <item x="14"/>
        <item x="1"/>
        <item x="16"/>
        <item x="0"/>
        <item x="11"/>
        <item x="9"/>
        <item x="15"/>
        <item x="8"/>
        <item x="4"/>
        <item x="3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2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8">
      <pivotArea field="2" type="button" dataOnly="0" labelOnly="1" outline="0" axis="axisCol" fieldPosition="0"/>
    </format>
    <format dxfId="2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5">
      <pivotArea type="topRight" dataOnly="0" labelOnly="1" outline="0" fieldPosition="0"/>
    </format>
    <format dxfId="2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1">
      <pivotArea field="-2" type="button" dataOnly="0" labelOnly="1" outline="0" axis="axisCol" fieldPosition="1"/>
    </format>
    <format dxfId="2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7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CDF3D-D9A4-4696-98C0-B37DCCC28603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9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8">
        <item x="15"/>
        <item x="11"/>
        <item x="12"/>
        <item x="10"/>
        <item x="16"/>
        <item x="14"/>
        <item x="2"/>
        <item x="13"/>
        <item x="8"/>
        <item x="3"/>
        <item x="1"/>
        <item x="4"/>
        <item x="0"/>
        <item x="9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4">
    <i>
      <x/>
    </i>
    <i>
      <x v="1"/>
    </i>
    <i>
      <x v="3"/>
    </i>
    <i>
      <x v="5"/>
    </i>
    <i>
      <x v="6"/>
    </i>
    <i>
      <x v="7"/>
    </i>
    <i>
      <x v="9"/>
    </i>
    <i>
      <x v="10"/>
    </i>
    <i>
      <x v="11"/>
    </i>
    <i>
      <x v="12"/>
    </i>
    <i>
      <x v="14"/>
    </i>
    <i>
      <x v="15"/>
    </i>
    <i>
      <x v="16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7">
      <pivotArea field="2" type="button" dataOnly="0" labelOnly="1" outline="0" axis="axisCol" fieldPosition="0"/>
    </format>
    <format dxfId="16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0">
      <pivotArea field="-2" type="button" dataOnly="0" labelOnly="1" outline="0" axis="axisCol" fieldPosition="1"/>
    </format>
    <format dxfId="9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22</v>
      </c>
      <c r="E2">
        <v>23262917</v>
      </c>
      <c r="F2">
        <v>39.874180339958627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17</v>
      </c>
      <c r="E3">
        <v>14672248</v>
      </c>
      <c r="F3">
        <v>25.149204751261301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9</v>
      </c>
      <c r="E4">
        <v>12729773</v>
      </c>
      <c r="F4">
        <v>21.81967395957852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84</v>
      </c>
      <c r="E5">
        <v>2366325</v>
      </c>
      <c r="F5">
        <v>4.0560377614274534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60</v>
      </c>
      <c r="E6">
        <v>934227</v>
      </c>
      <c r="F6">
        <v>1.601326947796724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53965490</v>
      </c>
      <c r="F7">
        <v>92.500423760022642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4375313</v>
      </c>
      <c r="F8">
        <v>7.4995762399773627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58340803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17</v>
      </c>
      <c r="E10">
        <v>35015762</v>
      </c>
      <c r="F10">
        <v>45.864469257799747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22</v>
      </c>
      <c r="E11">
        <v>23910358</v>
      </c>
      <c r="F11">
        <v>31.318349703027639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9</v>
      </c>
      <c r="E12">
        <v>6511804</v>
      </c>
      <c r="F12">
        <v>8.5293141520329456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48</v>
      </c>
      <c r="E13">
        <v>4692156</v>
      </c>
      <c r="F13">
        <v>6.1458963713198838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84</v>
      </c>
      <c r="E14">
        <v>2540851</v>
      </c>
      <c r="F14">
        <v>3.3280664455667068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72670931</v>
      </c>
      <c r="F15">
        <v>95.186095929746926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3675231</v>
      </c>
      <c r="F16">
        <v>4.8139040702530664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76346162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17</v>
      </c>
      <c r="E18">
        <v>80845496</v>
      </c>
      <c r="F18">
        <v>66.532374881285349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9</v>
      </c>
      <c r="E19">
        <v>26148391</v>
      </c>
      <c r="F19">
        <v>21.51900400925771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48</v>
      </c>
      <c r="E20">
        <v>4957496</v>
      </c>
      <c r="F20">
        <v>4.0798065280528757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22</v>
      </c>
      <c r="E21">
        <v>3820369</v>
      </c>
      <c r="F21">
        <v>3.143999790573877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84</v>
      </c>
      <c r="E22">
        <v>2268224</v>
      </c>
      <c r="F22">
        <v>1.8666510436490931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118039976</v>
      </c>
      <c r="F23">
        <v>97.141836252818905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3473041</v>
      </c>
      <c r="F24">
        <v>2.8581637471810941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121513017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17</v>
      </c>
      <c r="E26">
        <v>80359899</v>
      </c>
      <c r="F26">
        <v>68.884376939384595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9</v>
      </c>
      <c r="E27">
        <v>28012243</v>
      </c>
      <c r="F27">
        <v>24.012049912228459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84</v>
      </c>
      <c r="E28">
        <v>3051829</v>
      </c>
      <c r="F28">
        <v>2.6160229393835488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48</v>
      </c>
      <c r="E29">
        <v>2028509</v>
      </c>
      <c r="F29">
        <v>1.7388346715186149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38</v>
      </c>
      <c r="E30">
        <v>793609</v>
      </c>
      <c r="F30">
        <v>0.68028036593834029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114246089</v>
      </c>
      <c r="F31">
        <v>97.93156482845356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2413018</v>
      </c>
      <c r="F32">
        <v>2.0684351715464442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116659107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17</v>
      </c>
      <c r="E34">
        <v>56330296</v>
      </c>
      <c r="F34">
        <v>83.148243727314991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9</v>
      </c>
      <c r="E35">
        <v>7109913</v>
      </c>
      <c r="F35">
        <v>10.4948282005123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84</v>
      </c>
      <c r="E36">
        <v>1792465</v>
      </c>
      <c r="F36">
        <v>2.6458287507078189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38</v>
      </c>
      <c r="E37">
        <v>1066470</v>
      </c>
      <c r="F37">
        <v>1.5741992104545239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60</v>
      </c>
      <c r="E38">
        <v>810238</v>
      </c>
      <c r="F38">
        <v>1.1959792773169919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67109382</v>
      </c>
      <c r="F39">
        <v>99.059079166306631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637444</v>
      </c>
      <c r="F40">
        <v>0.94092083369337487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67746826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17</v>
      </c>
      <c r="E42">
        <v>55375461</v>
      </c>
      <c r="F42">
        <v>46.050411154606543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12</v>
      </c>
      <c r="E43">
        <v>17872057</v>
      </c>
      <c r="F43">
        <v>14.8624599807587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23</v>
      </c>
      <c r="E44">
        <v>13768582</v>
      </c>
      <c r="F44">
        <v>11.449996996249199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10</v>
      </c>
      <c r="E45">
        <v>10346998</v>
      </c>
      <c r="F45">
        <v>8.6045967566011168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22</v>
      </c>
      <c r="E46">
        <v>7156677</v>
      </c>
      <c r="F46">
        <v>5.9515155702399678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104519775</v>
      </c>
      <c r="F47">
        <v>86.918980458455536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15729881</v>
      </c>
      <c r="F48">
        <v>13.081019541544469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120249656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23</v>
      </c>
      <c r="E50">
        <v>62402719</v>
      </c>
      <c r="F50">
        <v>52.039672817482419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17</v>
      </c>
      <c r="E51">
        <v>41460109</v>
      </c>
      <c r="F51">
        <v>34.574943879242802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2</v>
      </c>
      <c r="E52">
        <v>6208394</v>
      </c>
      <c r="F52">
        <v>5.1773832560408293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12</v>
      </c>
      <c r="E53">
        <v>2795400</v>
      </c>
      <c r="F53">
        <v>2.3311756879374181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84</v>
      </c>
      <c r="E54">
        <v>1804668</v>
      </c>
      <c r="F54">
        <v>1.5049717988118489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114671290</v>
      </c>
      <c r="F55">
        <v>95.628147439515317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5242452</v>
      </c>
      <c r="F56">
        <v>4.3718525604846858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119913742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12</v>
      </c>
      <c r="E58">
        <v>105326832</v>
      </c>
      <c r="F58">
        <v>47.750760679168167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23</v>
      </c>
      <c r="E59">
        <v>68530961</v>
      </c>
      <c r="F59">
        <v>31.06905862149549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15</v>
      </c>
      <c r="E60">
        <v>29921780</v>
      </c>
      <c r="F60">
        <v>13.56527798989265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2</v>
      </c>
      <c r="E61">
        <v>5020377</v>
      </c>
      <c r="F61">
        <v>2.2760280176868921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84</v>
      </c>
      <c r="E62">
        <v>3318148</v>
      </c>
      <c r="F62">
        <v>1.5043089024652381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212118098</v>
      </c>
      <c r="F63">
        <v>96.16543421070844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8458141</v>
      </c>
      <c r="F64">
        <v>3.834565789291565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220576239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12</v>
      </c>
      <c r="E66">
        <v>157924340</v>
      </c>
      <c r="F66">
        <v>50.119637510797268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23</v>
      </c>
      <c r="E67">
        <v>97315978</v>
      </c>
      <c r="F67">
        <v>30.88467263101256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10</v>
      </c>
      <c r="E68">
        <v>18964579</v>
      </c>
      <c r="F68">
        <v>6.0186911341524567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15</v>
      </c>
      <c r="E69">
        <v>15008179</v>
      </c>
      <c r="F69">
        <v>4.7630687655693853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44</v>
      </c>
      <c r="E70">
        <v>10963039</v>
      </c>
      <c r="F70">
        <v>3.4792834384917071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300176115</v>
      </c>
      <c r="F71">
        <v>95.265353480023379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14918622</v>
      </c>
      <c r="F72">
        <v>4.7346465199766259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315094737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12</v>
      </c>
      <c r="E74">
        <v>71648106</v>
      </c>
      <c r="F74">
        <v>44.744894525658111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23</v>
      </c>
      <c r="E75">
        <v>40036149</v>
      </c>
      <c r="F75">
        <v>25.00293956435544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2</v>
      </c>
      <c r="E76">
        <v>16088686</v>
      </c>
      <c r="F76">
        <v>10.04753088834522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15</v>
      </c>
      <c r="E77">
        <v>13667615</v>
      </c>
      <c r="F77">
        <v>8.5355500059178482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44</v>
      </c>
      <c r="E78">
        <v>8255800</v>
      </c>
      <c r="F78">
        <v>5.155822265907883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149696356</v>
      </c>
      <c r="F79">
        <v>93.48673725018449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10429412</v>
      </c>
      <c r="F80">
        <v>6.5132627498155067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160125768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12</v>
      </c>
      <c r="E82">
        <v>138051845</v>
      </c>
      <c r="F82">
        <v>51.638455446174888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23</v>
      </c>
      <c r="E83">
        <v>60669307</v>
      </c>
      <c r="F83">
        <v>22.693425839182421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15</v>
      </c>
      <c r="E84">
        <v>21588063</v>
      </c>
      <c r="F84">
        <v>8.0750404269839091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17</v>
      </c>
      <c r="E85">
        <v>17778536</v>
      </c>
      <c r="F85">
        <v>6.6500823595238163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2</v>
      </c>
      <c r="E86">
        <v>15176550</v>
      </c>
      <c r="F86">
        <v>5.6768064273363787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253264301</v>
      </c>
      <c r="F87">
        <v>94.733810499201411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14078794</v>
      </c>
      <c r="F88">
        <v>5.2661895007985899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267343095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23</v>
      </c>
      <c r="E90">
        <v>124605446</v>
      </c>
      <c r="F90">
        <v>39.694221443567059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12</v>
      </c>
      <c r="E91">
        <v>120996374</v>
      </c>
      <c r="F91">
        <v>38.544518057618923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17</v>
      </c>
      <c r="E92">
        <v>25090352</v>
      </c>
      <c r="F92">
        <v>7.9927645247948931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15</v>
      </c>
      <c r="E93">
        <v>12233213</v>
      </c>
      <c r="F93">
        <v>3.8970035530254701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2</v>
      </c>
      <c r="E94">
        <v>12022062</v>
      </c>
      <c r="F94">
        <v>3.8297394420167858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294947447</v>
      </c>
      <c r="F95">
        <v>93.958247021023141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18965867</v>
      </c>
      <c r="F96">
        <v>6.0417529789768647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313913314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23</v>
      </c>
      <c r="E98">
        <v>97505106</v>
      </c>
      <c r="F98">
        <v>27.53546765164565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12</v>
      </c>
      <c r="E99">
        <v>79375097</v>
      </c>
      <c r="F99">
        <v>22.415548328204839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17</v>
      </c>
      <c r="E100">
        <v>47193269</v>
      </c>
      <c r="F100">
        <v>13.327391612957291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20</v>
      </c>
      <c r="E101">
        <v>42000002</v>
      </c>
      <c r="F101">
        <v>11.860811642418531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10</v>
      </c>
      <c r="E102">
        <v>39822403</v>
      </c>
      <c r="F102">
        <v>11.24585711047067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305895877</v>
      </c>
      <c r="F103">
        <v>86.385076345696987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48211441</v>
      </c>
      <c r="F104">
        <v>13.61492365430302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354107318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20</v>
      </c>
      <c r="E106">
        <v>49208127</v>
      </c>
      <c r="F106">
        <v>24.02510132280085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23</v>
      </c>
      <c r="E107">
        <v>35418299</v>
      </c>
      <c r="F107">
        <v>17.292432653578871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17</v>
      </c>
      <c r="E108">
        <v>34122765</v>
      </c>
      <c r="F108">
        <v>16.659908363086501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12</v>
      </c>
      <c r="E109">
        <v>27080868</v>
      </c>
      <c r="F109">
        <v>13.22181186878735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2</v>
      </c>
      <c r="E110">
        <v>17711471</v>
      </c>
      <c r="F110">
        <v>8.6473497629944127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163541530</v>
      </c>
      <c r="F111">
        <v>79.846603971247987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41278114</v>
      </c>
      <c r="F112">
        <v>20.15339602875201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204819644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12</v>
      </c>
      <c r="E114">
        <v>262068749</v>
      </c>
      <c r="F114">
        <v>47.442238188305311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23</v>
      </c>
      <c r="E115">
        <v>104334482</v>
      </c>
      <c r="F115">
        <v>18.88764442607178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20</v>
      </c>
      <c r="E116">
        <v>75791878</v>
      </c>
      <c r="F116">
        <v>13.7205841693661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17</v>
      </c>
      <c r="E117">
        <v>36975460</v>
      </c>
      <c r="F117">
        <v>6.6936580081975183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15</v>
      </c>
      <c r="E118">
        <v>23187426</v>
      </c>
      <c r="F118">
        <v>4.19761376151608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502357995</v>
      </c>
      <c r="F119">
        <v>90.941738553456787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50037421</v>
      </c>
      <c r="F120">
        <v>9.058261446543213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552395416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17</v>
      </c>
      <c r="E122">
        <v>50752077</v>
      </c>
      <c r="F122">
        <v>54.930444776175882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2</v>
      </c>
      <c r="E123">
        <v>11969837</v>
      </c>
      <c r="F123">
        <v>12.955301717175571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22</v>
      </c>
      <c r="E124">
        <v>8586519</v>
      </c>
      <c r="F124">
        <v>9.2934385276307978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9</v>
      </c>
      <c r="E125">
        <v>7592229</v>
      </c>
      <c r="F125">
        <v>8.2172896256557344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15</v>
      </c>
      <c r="E126">
        <v>4357798</v>
      </c>
      <c r="F126">
        <v>4.7165711540185766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83258460</v>
      </c>
      <c r="F127">
        <v>90.11304580065655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9134888</v>
      </c>
      <c r="F128">
        <v>9.8869541993434424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92393348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17</v>
      </c>
      <c r="E130">
        <v>76661923</v>
      </c>
      <c r="F130">
        <v>47.067043135445488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15</v>
      </c>
      <c r="E131">
        <v>54194397</v>
      </c>
      <c r="F131">
        <v>33.272972050263569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2</v>
      </c>
      <c r="E132">
        <v>13947167</v>
      </c>
      <c r="F132">
        <v>8.5629460508871116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22</v>
      </c>
      <c r="E133">
        <v>5992849</v>
      </c>
      <c r="F133">
        <v>3.6793452518430998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84</v>
      </c>
      <c r="E134">
        <v>4903974</v>
      </c>
      <c r="F134">
        <v>3.0108239757187301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155700310</v>
      </c>
      <c r="F135">
        <v>95.593130464157994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7177827</v>
      </c>
      <c r="F136">
        <v>4.4068695358420023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162878137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E6A-A70D-4B5C-83A9-3A6F9ED03D52}">
  <dimension ref="A3:M22"/>
  <sheetViews>
    <sheetView workbookViewId="0">
      <selection activeCell="F25" sqref="F25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5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6" t="s">
        <v>18</v>
      </c>
      <c r="C5" s="7" t="s">
        <v>21</v>
      </c>
      <c r="D5" s="6" t="s">
        <v>18</v>
      </c>
      <c r="E5" s="7" t="s">
        <v>21</v>
      </c>
      <c r="F5" s="6" t="s">
        <v>18</v>
      </c>
      <c r="G5" s="7" t="s">
        <v>21</v>
      </c>
      <c r="H5" s="6" t="s">
        <v>18</v>
      </c>
      <c r="I5" s="7" t="s">
        <v>21</v>
      </c>
      <c r="J5" s="6" t="s">
        <v>18</v>
      </c>
      <c r="K5" s="7" t="s">
        <v>21</v>
      </c>
    </row>
    <row r="6" spans="1:13" x14ac:dyDescent="0.3">
      <c r="A6" s="3">
        <v>2</v>
      </c>
      <c r="J6" s="6">
        <v>13947167</v>
      </c>
      <c r="K6" s="7">
        <v>8.5629460508871116</v>
      </c>
      <c r="L6" s="4">
        <v>13947167</v>
      </c>
      <c r="M6" s="4">
        <v>8.5629460508871116</v>
      </c>
    </row>
    <row r="7" spans="1:13" x14ac:dyDescent="0.3">
      <c r="A7" s="3">
        <v>9</v>
      </c>
      <c r="B7" s="6">
        <v>12729773</v>
      </c>
      <c r="C7" s="7">
        <v>21.81967395957852</v>
      </c>
      <c r="D7" s="6">
        <v>7109913</v>
      </c>
      <c r="E7" s="7">
        <v>10.4948282005123</v>
      </c>
      <c r="L7" s="4">
        <v>19839686</v>
      </c>
      <c r="M7" s="4">
        <v>32.314502160090818</v>
      </c>
    </row>
    <row r="8" spans="1:13" x14ac:dyDescent="0.3">
      <c r="A8" s="3">
        <v>10</v>
      </c>
      <c r="F8" s="6">
        <v>18964579</v>
      </c>
      <c r="G8" s="7">
        <v>6.0186911341524567</v>
      </c>
      <c r="H8" s="6">
        <v>39822403</v>
      </c>
      <c r="I8" s="7">
        <v>11.24585711047067</v>
      </c>
      <c r="L8" s="4">
        <v>58786982</v>
      </c>
      <c r="M8" s="4">
        <v>17.264548244623128</v>
      </c>
    </row>
    <row r="9" spans="1:13" x14ac:dyDescent="0.3">
      <c r="A9" s="3">
        <v>12</v>
      </c>
      <c r="F9" s="6">
        <v>157924340</v>
      </c>
      <c r="G9" s="7">
        <v>50.119637510797268</v>
      </c>
      <c r="H9" s="6">
        <v>79375097</v>
      </c>
      <c r="I9" s="7">
        <v>22.415548328204839</v>
      </c>
      <c r="L9" s="4">
        <v>237299437</v>
      </c>
      <c r="M9" s="4">
        <v>72.535185839002111</v>
      </c>
    </row>
    <row r="10" spans="1:13" x14ac:dyDescent="0.3">
      <c r="A10" s="3">
        <v>15</v>
      </c>
      <c r="F10" s="6">
        <v>15008179</v>
      </c>
      <c r="G10" s="7">
        <v>4.7630687655693853</v>
      </c>
      <c r="J10" s="6">
        <v>54194397</v>
      </c>
      <c r="K10" s="7">
        <v>33.272972050263569</v>
      </c>
      <c r="L10" s="4">
        <v>69202576</v>
      </c>
      <c r="M10" s="4">
        <v>38.036040815832955</v>
      </c>
    </row>
    <row r="11" spans="1:13" x14ac:dyDescent="0.3">
      <c r="A11" s="3">
        <v>17</v>
      </c>
      <c r="B11" s="6">
        <v>14672248</v>
      </c>
      <c r="C11" s="7">
        <v>25.149204751261301</v>
      </c>
      <c r="D11" s="6">
        <v>56330296</v>
      </c>
      <c r="E11" s="7">
        <v>83.148243727314991</v>
      </c>
      <c r="H11" s="6">
        <v>47193269</v>
      </c>
      <c r="I11" s="7">
        <v>13.327391612957291</v>
      </c>
      <c r="J11" s="6">
        <v>76661923</v>
      </c>
      <c r="K11" s="7">
        <v>47.067043135445488</v>
      </c>
      <c r="L11" s="4">
        <v>194857736</v>
      </c>
      <c r="M11" s="4">
        <v>168.69188322697906</v>
      </c>
    </row>
    <row r="12" spans="1:13" x14ac:dyDescent="0.3">
      <c r="A12" s="3">
        <v>20</v>
      </c>
      <c r="H12" s="6">
        <v>42000002</v>
      </c>
      <c r="I12" s="7">
        <v>11.860811642418531</v>
      </c>
      <c r="L12" s="4">
        <v>42000002</v>
      </c>
      <c r="M12" s="4">
        <v>11.860811642418531</v>
      </c>
    </row>
    <row r="13" spans="1:13" x14ac:dyDescent="0.3">
      <c r="A13" s="3">
        <v>22</v>
      </c>
      <c r="B13" s="6">
        <v>23262917</v>
      </c>
      <c r="C13" s="7">
        <v>39.874180339958627</v>
      </c>
      <c r="J13" s="6">
        <v>5992849</v>
      </c>
      <c r="K13" s="7">
        <v>3.6793452518430998</v>
      </c>
      <c r="L13" s="4">
        <v>29255766</v>
      </c>
      <c r="M13" s="4">
        <v>43.55352559180173</v>
      </c>
    </row>
    <row r="14" spans="1:13" x14ac:dyDescent="0.3">
      <c r="A14" s="3">
        <v>23</v>
      </c>
      <c r="F14" s="6">
        <v>97315978</v>
      </c>
      <c r="G14" s="7">
        <v>30.88467263101256</v>
      </c>
      <c r="H14" s="6">
        <v>97505106</v>
      </c>
      <c r="I14" s="7">
        <v>27.53546765164565</v>
      </c>
      <c r="L14" s="4">
        <v>194821084</v>
      </c>
      <c r="M14" s="4">
        <v>58.42014028265821</v>
      </c>
    </row>
    <row r="15" spans="1:13" x14ac:dyDescent="0.3">
      <c r="A15" s="3">
        <v>38</v>
      </c>
      <c r="D15" s="6">
        <v>1066470</v>
      </c>
      <c r="E15" s="7">
        <v>1.5741992104545239</v>
      </c>
      <c r="L15" s="4">
        <v>1066470</v>
      </c>
      <c r="M15" s="4">
        <v>1.5741992104545239</v>
      </c>
    </row>
    <row r="16" spans="1:13" x14ac:dyDescent="0.3">
      <c r="A16" s="3">
        <v>44</v>
      </c>
      <c r="F16" s="6">
        <v>10963039</v>
      </c>
      <c r="G16" s="7">
        <v>3.4792834384917071</v>
      </c>
      <c r="L16" s="4">
        <v>10963039</v>
      </c>
      <c r="M16" s="4">
        <v>3.4792834384917071</v>
      </c>
    </row>
    <row r="17" spans="1:13" x14ac:dyDescent="0.3">
      <c r="A17" s="3">
        <v>60</v>
      </c>
      <c r="B17" s="6">
        <v>934227</v>
      </c>
      <c r="C17" s="7">
        <v>1.601326947796724</v>
      </c>
      <c r="D17" s="6">
        <v>810238</v>
      </c>
      <c r="E17" s="7">
        <v>1.1959792773169919</v>
      </c>
      <c r="L17" s="4">
        <v>1744465</v>
      </c>
      <c r="M17" s="4">
        <v>2.797306225113716</v>
      </c>
    </row>
    <row r="18" spans="1:13" x14ac:dyDescent="0.3">
      <c r="A18" s="3">
        <v>84</v>
      </c>
      <c r="B18" s="6">
        <v>2366325</v>
      </c>
      <c r="C18" s="7">
        <v>4.0560377614274534</v>
      </c>
      <c r="D18" s="6">
        <v>1792465</v>
      </c>
      <c r="E18" s="7">
        <v>2.6458287507078189</v>
      </c>
      <c r="J18" s="6">
        <v>4903974</v>
      </c>
      <c r="K18" s="7">
        <v>3.0108239757187301</v>
      </c>
      <c r="L18" s="4">
        <v>9062764</v>
      </c>
      <c r="M18" s="4">
        <v>9.712690487854001</v>
      </c>
    </row>
    <row r="19" spans="1:13" x14ac:dyDescent="0.3">
      <c r="A19" s="3" t="s">
        <v>12</v>
      </c>
      <c r="B19" s="6">
        <v>4375313</v>
      </c>
      <c r="C19" s="7">
        <v>7.4995762399773627</v>
      </c>
      <c r="D19" s="6">
        <v>637444</v>
      </c>
      <c r="E19" s="7">
        <v>0.94092083369337487</v>
      </c>
      <c r="F19" s="6">
        <v>14918622</v>
      </c>
      <c r="G19" s="7">
        <v>4.7346465199766259</v>
      </c>
      <c r="H19" s="6">
        <v>48211441</v>
      </c>
      <c r="I19" s="7">
        <v>13.61492365430302</v>
      </c>
      <c r="J19" s="6">
        <v>7177827</v>
      </c>
      <c r="K19" s="7">
        <v>4.4068695358420023</v>
      </c>
      <c r="L19" s="4">
        <v>75320647</v>
      </c>
      <c r="M19" s="4">
        <v>31.196936783792385</v>
      </c>
    </row>
    <row r="20" spans="1:13" x14ac:dyDescent="0.3">
      <c r="A20" s="3" t="s">
        <v>10</v>
      </c>
      <c r="B20" s="6">
        <v>53965490</v>
      </c>
      <c r="C20" s="7">
        <v>92.500423760022642</v>
      </c>
      <c r="D20" s="6">
        <v>67109382</v>
      </c>
      <c r="E20" s="7">
        <v>99.059079166306631</v>
      </c>
      <c r="F20" s="6">
        <v>300176115</v>
      </c>
      <c r="G20" s="7">
        <v>95.265353480023379</v>
      </c>
      <c r="H20" s="6">
        <v>305895877</v>
      </c>
      <c r="I20" s="7">
        <v>86.385076345696987</v>
      </c>
      <c r="J20" s="6">
        <v>155700310</v>
      </c>
      <c r="K20" s="7">
        <v>95.593130464157994</v>
      </c>
      <c r="L20" s="4">
        <v>882847174</v>
      </c>
      <c r="M20" s="4">
        <v>468.80306321620759</v>
      </c>
    </row>
    <row r="21" spans="1:13" x14ac:dyDescent="0.3">
      <c r="A21" s="3" t="s">
        <v>13</v>
      </c>
      <c r="B21" s="6">
        <v>58340803</v>
      </c>
      <c r="C21" s="7">
        <v>100</v>
      </c>
      <c r="D21" s="6">
        <v>67746826</v>
      </c>
      <c r="E21" s="7">
        <v>100</v>
      </c>
      <c r="F21" s="6">
        <v>315094737</v>
      </c>
      <c r="G21" s="7">
        <v>100</v>
      </c>
      <c r="H21" s="6">
        <v>354107318</v>
      </c>
      <c r="I21" s="7">
        <v>100</v>
      </c>
      <c r="J21" s="6">
        <v>162878137</v>
      </c>
      <c r="K21" s="7">
        <v>100</v>
      </c>
      <c r="L21" s="4">
        <v>958167821</v>
      </c>
      <c r="M21" s="4">
        <v>500</v>
      </c>
    </row>
    <row r="22" spans="1:13" x14ac:dyDescent="0.3">
      <c r="A22" s="3" t="s">
        <v>16</v>
      </c>
      <c r="B22" s="6">
        <v>170647096</v>
      </c>
      <c r="C22" s="7">
        <v>292.50042376002261</v>
      </c>
      <c r="D22" s="6">
        <v>202603034</v>
      </c>
      <c r="E22" s="7">
        <v>299.05907916630662</v>
      </c>
      <c r="F22" s="6">
        <v>930365589</v>
      </c>
      <c r="G22" s="7">
        <v>295.26535348002335</v>
      </c>
      <c r="H22" s="6">
        <v>1014110513</v>
      </c>
      <c r="I22" s="7">
        <v>286.38507634569697</v>
      </c>
      <c r="J22" s="6">
        <v>481456584</v>
      </c>
      <c r="K22" s="7">
        <v>295.59313046415798</v>
      </c>
      <c r="L22" s="4">
        <v>2799182816</v>
      </c>
      <c r="M22" s="4">
        <v>1468.8030632162076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21EC-9C35-488F-9143-9E9F9E19EBFB}">
  <dimension ref="A3:M19"/>
  <sheetViews>
    <sheetView tabSelected="1" workbookViewId="0">
      <selection activeCell="E24" sqref="E24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5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6" t="s">
        <v>18</v>
      </c>
      <c r="C5" s="7" t="s">
        <v>21</v>
      </c>
      <c r="D5" s="6" t="s">
        <v>18</v>
      </c>
      <c r="E5" s="7" t="s">
        <v>21</v>
      </c>
      <c r="F5" s="6" t="s">
        <v>18</v>
      </c>
      <c r="G5" s="7" t="s">
        <v>21</v>
      </c>
      <c r="H5" s="6" t="s">
        <v>18</v>
      </c>
      <c r="I5" s="7" t="s">
        <v>21</v>
      </c>
      <c r="J5" s="6" t="s">
        <v>18</v>
      </c>
      <c r="K5" s="7" t="s">
        <v>21</v>
      </c>
    </row>
    <row r="6" spans="1:13" x14ac:dyDescent="0.3">
      <c r="A6" s="3">
        <v>21</v>
      </c>
      <c r="H6" s="6">
        <v>2028097</v>
      </c>
      <c r="I6" s="7">
        <v>5.1866782398053912</v>
      </c>
      <c r="L6" s="4">
        <v>2028097</v>
      </c>
      <c r="M6" s="4">
        <v>5.1866782398053912</v>
      </c>
    </row>
    <row r="7" spans="1:13" x14ac:dyDescent="0.3">
      <c r="A7" s="3">
        <v>22</v>
      </c>
      <c r="F7" s="6">
        <v>6032517</v>
      </c>
      <c r="G7" s="7">
        <v>14.75659285773623</v>
      </c>
      <c r="L7" s="4">
        <v>6032517</v>
      </c>
      <c r="M7" s="4">
        <v>14.75659285773623</v>
      </c>
    </row>
    <row r="8" spans="1:13" x14ac:dyDescent="0.3">
      <c r="A8" s="3">
        <v>29</v>
      </c>
      <c r="D8" s="6">
        <v>3027296</v>
      </c>
      <c r="E8" s="7">
        <v>6.0186351090136254</v>
      </c>
      <c r="F8" s="6">
        <v>2386476</v>
      </c>
      <c r="G8" s="7">
        <v>5.8377381608305328</v>
      </c>
      <c r="L8" s="4">
        <v>5413772</v>
      </c>
      <c r="M8" s="4">
        <v>11.856373269844159</v>
      </c>
    </row>
    <row r="9" spans="1:13" x14ac:dyDescent="0.3">
      <c r="A9" s="3">
        <v>33</v>
      </c>
      <c r="H9" s="6">
        <v>5142219</v>
      </c>
      <c r="I9" s="7">
        <v>13.150769115882451</v>
      </c>
      <c r="J9" s="6">
        <v>8038111</v>
      </c>
      <c r="K9" s="7">
        <v>11.518344616345191</v>
      </c>
      <c r="L9" s="4">
        <v>13180330</v>
      </c>
      <c r="M9" s="4">
        <v>24.669113732227643</v>
      </c>
    </row>
    <row r="10" spans="1:13" x14ac:dyDescent="0.3">
      <c r="A10" s="3">
        <v>39</v>
      </c>
      <c r="B10" s="6">
        <v>3673692</v>
      </c>
      <c r="C10" s="7">
        <v>13.718304568160191</v>
      </c>
      <c r="D10" s="6">
        <v>10220867</v>
      </c>
      <c r="E10" s="7">
        <v>20.32033503521253</v>
      </c>
      <c r="F10" s="6">
        <v>5606157</v>
      </c>
      <c r="G10" s="7">
        <v>13.713641643371741</v>
      </c>
      <c r="H10" s="6">
        <v>7266532</v>
      </c>
      <c r="I10" s="7">
        <v>18.583511243914639</v>
      </c>
      <c r="J10" s="6">
        <v>13737864</v>
      </c>
      <c r="K10" s="7">
        <v>19.68590031221046</v>
      </c>
      <c r="L10" s="4">
        <v>40505112</v>
      </c>
      <c r="M10" s="4">
        <v>86.021692802869566</v>
      </c>
    </row>
    <row r="11" spans="1:13" x14ac:dyDescent="0.3">
      <c r="A11" s="3">
        <v>55</v>
      </c>
      <c r="J11" s="6">
        <v>5034241</v>
      </c>
      <c r="K11" s="7">
        <v>7.2138992257925043</v>
      </c>
      <c r="L11" s="4">
        <v>5034241</v>
      </c>
      <c r="M11" s="4">
        <v>7.2138992257925043</v>
      </c>
    </row>
    <row r="12" spans="1:13" x14ac:dyDescent="0.3">
      <c r="A12" s="3">
        <v>73</v>
      </c>
      <c r="B12" s="6">
        <v>2436136</v>
      </c>
      <c r="C12" s="7">
        <v>9.0970216385748941</v>
      </c>
      <c r="D12" s="6">
        <v>2513612</v>
      </c>
      <c r="E12" s="7">
        <v>4.9973684217327783</v>
      </c>
      <c r="L12" s="4">
        <v>4949748</v>
      </c>
      <c r="M12" s="4">
        <v>14.094390060307672</v>
      </c>
    </row>
    <row r="13" spans="1:13" x14ac:dyDescent="0.3">
      <c r="A13" s="3">
        <v>84</v>
      </c>
      <c r="B13" s="6">
        <v>5044615</v>
      </c>
      <c r="C13" s="7">
        <v>18.837606690792089</v>
      </c>
      <c r="D13" s="6">
        <v>8942757</v>
      </c>
      <c r="E13" s="7">
        <v>17.77929586389218</v>
      </c>
      <c r="F13" s="6">
        <v>6587279</v>
      </c>
      <c r="G13" s="7">
        <v>16.113637846907992</v>
      </c>
      <c r="H13" s="6">
        <v>9051249</v>
      </c>
      <c r="I13" s="7">
        <v>23.147766714984691</v>
      </c>
      <c r="J13" s="6">
        <v>14417455</v>
      </c>
      <c r="K13" s="7">
        <v>20.65973151909062</v>
      </c>
      <c r="L13" s="4">
        <v>44043355</v>
      </c>
      <c r="M13" s="4">
        <v>96.53803863566759</v>
      </c>
    </row>
    <row r="14" spans="1:13" x14ac:dyDescent="0.3">
      <c r="A14" s="3">
        <v>87</v>
      </c>
      <c r="B14" s="6">
        <v>967595</v>
      </c>
      <c r="C14" s="7">
        <v>3.613194276664716</v>
      </c>
      <c r="L14" s="4">
        <v>967595</v>
      </c>
      <c r="M14" s="4">
        <v>3.613194276664716</v>
      </c>
    </row>
    <row r="15" spans="1:13" x14ac:dyDescent="0.3">
      <c r="A15" s="3">
        <v>94</v>
      </c>
      <c r="B15" s="6">
        <v>12117344</v>
      </c>
      <c r="C15" s="7">
        <v>45.248598834406479</v>
      </c>
      <c r="D15" s="6">
        <v>16179959</v>
      </c>
      <c r="E15" s="7">
        <v>32.167739560254752</v>
      </c>
      <c r="F15" s="6">
        <v>7676769</v>
      </c>
      <c r="G15" s="7">
        <v>18.778721153357861</v>
      </c>
      <c r="H15" s="6">
        <v>4737978</v>
      </c>
      <c r="I15" s="7">
        <v>12.11695860369433</v>
      </c>
      <c r="J15" s="6">
        <v>13069393</v>
      </c>
      <c r="K15" s="7">
        <v>18.72800369395863</v>
      </c>
      <c r="L15" s="4">
        <v>53781443</v>
      </c>
      <c r="M15" s="4">
        <v>127.04002184567206</v>
      </c>
    </row>
    <row r="16" spans="1:13" x14ac:dyDescent="0.3">
      <c r="A16" s="3" t="s">
        <v>12</v>
      </c>
      <c r="B16" s="6">
        <v>2540108</v>
      </c>
      <c r="C16" s="7">
        <v>9.4852739914016286</v>
      </c>
      <c r="D16" s="6">
        <v>9414222</v>
      </c>
      <c r="E16" s="7">
        <v>18.716626009894131</v>
      </c>
      <c r="F16" s="6">
        <v>12590950</v>
      </c>
      <c r="G16" s="7">
        <v>30.799668337795641</v>
      </c>
      <c r="H16" s="6">
        <v>10875965</v>
      </c>
      <c r="I16" s="7">
        <v>27.814316081718498</v>
      </c>
      <c r="J16" s="6">
        <v>15488233</v>
      </c>
      <c r="K16" s="7">
        <v>22.194120632602591</v>
      </c>
      <c r="L16" s="4">
        <v>50909478</v>
      </c>
      <c r="M16" s="4">
        <v>109.0100050534125</v>
      </c>
    </row>
    <row r="17" spans="1:13" x14ac:dyDescent="0.3">
      <c r="A17" s="3" t="s">
        <v>10</v>
      </c>
      <c r="B17" s="6">
        <v>24239382</v>
      </c>
      <c r="C17" s="7">
        <v>90.514726008598373</v>
      </c>
      <c r="D17" s="6">
        <v>40884491</v>
      </c>
      <c r="E17" s="7">
        <v>81.283373990105872</v>
      </c>
      <c r="F17" s="6">
        <v>28289198</v>
      </c>
      <c r="G17" s="7">
        <v>69.200331662204349</v>
      </c>
      <c r="H17" s="6">
        <v>28226075</v>
      </c>
      <c r="I17" s="7">
        <v>72.185683918281498</v>
      </c>
      <c r="J17" s="6">
        <v>54297064</v>
      </c>
      <c r="K17" s="7">
        <v>77.805879367397409</v>
      </c>
      <c r="L17" s="4">
        <v>175936210</v>
      </c>
      <c r="M17" s="4">
        <v>390.98999494658744</v>
      </c>
    </row>
    <row r="18" spans="1:13" x14ac:dyDescent="0.3">
      <c r="A18" s="3" t="s">
        <v>13</v>
      </c>
      <c r="B18" s="6">
        <v>26779490</v>
      </c>
      <c r="C18" s="7">
        <v>100</v>
      </c>
      <c r="D18" s="6">
        <v>50298713</v>
      </c>
      <c r="E18" s="7">
        <v>100</v>
      </c>
      <c r="F18" s="6">
        <v>40880148</v>
      </c>
      <c r="G18" s="7">
        <v>100</v>
      </c>
      <c r="H18" s="6">
        <v>39102040</v>
      </c>
      <c r="I18" s="7">
        <v>100</v>
      </c>
      <c r="J18" s="6">
        <v>69785297</v>
      </c>
      <c r="K18" s="7">
        <v>100</v>
      </c>
      <c r="L18" s="4">
        <v>226845688</v>
      </c>
      <c r="M18" s="4">
        <v>500</v>
      </c>
    </row>
    <row r="19" spans="1:13" x14ac:dyDescent="0.3">
      <c r="A19" s="3" t="s">
        <v>16</v>
      </c>
      <c r="B19" s="6">
        <v>77798362</v>
      </c>
      <c r="C19" s="7">
        <v>290.51472600859836</v>
      </c>
      <c r="D19" s="6">
        <v>141481917</v>
      </c>
      <c r="E19" s="7">
        <v>281.28337399010587</v>
      </c>
      <c r="F19" s="6">
        <v>110049494</v>
      </c>
      <c r="G19" s="7">
        <v>269.20033166220435</v>
      </c>
      <c r="H19" s="6">
        <v>106430155</v>
      </c>
      <c r="I19" s="7">
        <v>272.18568391828148</v>
      </c>
      <c r="J19" s="6">
        <v>193867658</v>
      </c>
      <c r="K19" s="7">
        <v>277.80587936739744</v>
      </c>
      <c r="L19" s="4">
        <v>629627586</v>
      </c>
      <c r="M19" s="4">
        <v>1390.9899949465876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94</v>
      </c>
      <c r="E2">
        <v>12117344</v>
      </c>
      <c r="F2">
        <v>45.248598834406479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84</v>
      </c>
      <c r="E3">
        <v>5044615</v>
      </c>
      <c r="F3">
        <v>18.837606690792089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39</v>
      </c>
      <c r="E4">
        <v>3673692</v>
      </c>
      <c r="F4">
        <v>13.718304568160191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73</v>
      </c>
      <c r="E5">
        <v>2436136</v>
      </c>
      <c r="F5">
        <v>9.0970216385748941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87</v>
      </c>
      <c r="E6">
        <v>967595</v>
      </c>
      <c r="F6">
        <v>3.613194276664716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24239382</v>
      </c>
      <c r="F7">
        <v>90.514726008598373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2540108</v>
      </c>
      <c r="F8">
        <v>9.4852739914016286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26779490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94</v>
      </c>
      <c r="E10">
        <v>13343643</v>
      </c>
      <c r="F10">
        <v>44.46216484755324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84</v>
      </c>
      <c r="E11">
        <v>4942151</v>
      </c>
      <c r="F11">
        <v>16.46767171929735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39</v>
      </c>
      <c r="E12">
        <v>3120923</v>
      </c>
      <c r="F12">
        <v>10.39918355898164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73</v>
      </c>
      <c r="E13">
        <v>2201535</v>
      </c>
      <c r="F13">
        <v>7.335703757036824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72</v>
      </c>
      <c r="E14">
        <v>1983305</v>
      </c>
      <c r="F14">
        <v>6.608542648583791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25591557</v>
      </c>
      <c r="F15">
        <v>85.273266531452833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4419674</v>
      </c>
      <c r="F16">
        <v>14.72673346854716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30011231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94</v>
      </c>
      <c r="E18">
        <v>12311593</v>
      </c>
      <c r="F18">
        <v>38.782709975373812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84</v>
      </c>
      <c r="E19">
        <v>7514511</v>
      </c>
      <c r="F19">
        <v>23.671437215294251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39</v>
      </c>
      <c r="E20">
        <v>3926456</v>
      </c>
      <c r="F20">
        <v>12.36871656487234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73</v>
      </c>
      <c r="E21">
        <v>1736922</v>
      </c>
      <c r="F21">
        <v>5.4714724711778739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96</v>
      </c>
      <c r="E22">
        <v>843141</v>
      </c>
      <c r="F22">
        <v>2.6559757840716989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26332623</v>
      </c>
      <c r="F23">
        <v>82.950312010789958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5412433</v>
      </c>
      <c r="F24">
        <v>17.049687989210039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31745056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84</v>
      </c>
      <c r="E26">
        <v>12724933</v>
      </c>
      <c r="F26">
        <v>31.245714894671309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94</v>
      </c>
      <c r="E27">
        <v>9128681</v>
      </c>
      <c r="F27">
        <v>22.41521930924139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39</v>
      </c>
      <c r="E28">
        <v>6507413</v>
      </c>
      <c r="F28">
        <v>15.978769499208971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96</v>
      </c>
      <c r="E29">
        <v>3326803</v>
      </c>
      <c r="F29">
        <v>8.1688711483775354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73</v>
      </c>
      <c r="E30">
        <v>1471892</v>
      </c>
      <c r="F30">
        <v>3.6141893861246688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33159722</v>
      </c>
      <c r="F31">
        <v>81.422764237623866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7565648</v>
      </c>
      <c r="F32">
        <v>18.57723576237613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40725370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94</v>
      </c>
      <c r="E34">
        <v>16179959</v>
      </c>
      <c r="F34">
        <v>32.167739560254752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39</v>
      </c>
      <c r="E35">
        <v>10220867</v>
      </c>
      <c r="F35">
        <v>20.32033503521253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84</v>
      </c>
      <c r="E36">
        <v>8942757</v>
      </c>
      <c r="F36">
        <v>17.77929586389218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29</v>
      </c>
      <c r="E37">
        <v>3027296</v>
      </c>
      <c r="F37">
        <v>6.0186351090136254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73</v>
      </c>
      <c r="E38">
        <v>2513612</v>
      </c>
      <c r="F38">
        <v>4.9973684217327783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40884491</v>
      </c>
      <c r="F39">
        <v>81.283373990105872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9414222</v>
      </c>
      <c r="F40">
        <v>18.716626009894131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50298713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94</v>
      </c>
      <c r="E42">
        <v>17238312</v>
      </c>
      <c r="F42">
        <v>32.776347062947927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84</v>
      </c>
      <c r="E43">
        <v>12343230</v>
      </c>
      <c r="F43">
        <v>23.469002670202901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39</v>
      </c>
      <c r="E44">
        <v>8345500</v>
      </c>
      <c r="F44">
        <v>15.86785321055982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73</v>
      </c>
      <c r="E45">
        <v>2036877</v>
      </c>
      <c r="F45">
        <v>3.8728494690510411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29</v>
      </c>
      <c r="E46">
        <v>2023995</v>
      </c>
      <c r="F46">
        <v>3.848356067210716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41987914</v>
      </c>
      <c r="F47">
        <v>79.83440847997241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10605842</v>
      </c>
      <c r="F48">
        <v>20.16559152002759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52593756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94</v>
      </c>
      <c r="E50">
        <v>16919545</v>
      </c>
      <c r="F50">
        <v>28.569109258928279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84</v>
      </c>
      <c r="E51">
        <v>13998027</v>
      </c>
      <c r="F51">
        <v>23.63604711429462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39</v>
      </c>
      <c r="E52">
        <v>9665630</v>
      </c>
      <c r="F52">
        <v>16.320677626163999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29</v>
      </c>
      <c r="E53">
        <v>2607014</v>
      </c>
      <c r="F53">
        <v>4.4020136360378279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22</v>
      </c>
      <c r="E54">
        <v>2312979</v>
      </c>
      <c r="F54">
        <v>3.905527587450293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45503195</v>
      </c>
      <c r="F55">
        <v>76.83337522287502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13720020</v>
      </c>
      <c r="F56">
        <v>23.16662477712498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59223215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94</v>
      </c>
      <c r="E58">
        <v>12578136</v>
      </c>
      <c r="F58">
        <v>27.946035895004108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84</v>
      </c>
      <c r="E59">
        <v>9318466</v>
      </c>
      <c r="F59">
        <v>20.70371836672583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39</v>
      </c>
      <c r="E60">
        <v>8214957</v>
      </c>
      <c r="F60">
        <v>18.251947919621418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29</v>
      </c>
      <c r="E61">
        <v>2765400</v>
      </c>
      <c r="F61">
        <v>6.1441510621322886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28</v>
      </c>
      <c r="E62">
        <v>2119952</v>
      </c>
      <c r="F62">
        <v>4.7100981168979059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34996911</v>
      </c>
      <c r="F63">
        <v>77.755951360381573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10011748</v>
      </c>
      <c r="F64">
        <v>22.24404863961843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45008659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94</v>
      </c>
      <c r="E66">
        <v>7676769</v>
      </c>
      <c r="F66">
        <v>18.778721153357861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84</v>
      </c>
      <c r="E67">
        <v>6587279</v>
      </c>
      <c r="F67">
        <v>16.113637846907992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22</v>
      </c>
      <c r="E68">
        <v>6032517</v>
      </c>
      <c r="F68">
        <v>14.75659285773623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39</v>
      </c>
      <c r="E69">
        <v>5606157</v>
      </c>
      <c r="F69">
        <v>13.713641643371741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29</v>
      </c>
      <c r="E70">
        <v>2386476</v>
      </c>
      <c r="F70">
        <v>5.8377381608305328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28289198</v>
      </c>
      <c r="F71">
        <v>69.200331662204349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12590950</v>
      </c>
      <c r="F72">
        <v>30.799668337795641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40880148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94</v>
      </c>
      <c r="E74">
        <v>9323900</v>
      </c>
      <c r="F74">
        <v>21.519874766095221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84</v>
      </c>
      <c r="E75">
        <v>7744764</v>
      </c>
      <c r="F75">
        <v>17.875175771186161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22</v>
      </c>
      <c r="E76">
        <v>5972787</v>
      </c>
      <c r="F76">
        <v>13.785393262965229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39</v>
      </c>
      <c r="E77">
        <v>4565780</v>
      </c>
      <c r="F77">
        <v>10.53797378881608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55</v>
      </c>
      <c r="E78">
        <v>2321641</v>
      </c>
      <c r="F78">
        <v>5.358425505618043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29928872</v>
      </c>
      <c r="F79">
        <v>69.076843094680726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13398053</v>
      </c>
      <c r="F80">
        <v>30.923156905319271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43326925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94</v>
      </c>
      <c r="E82">
        <v>10177888</v>
      </c>
      <c r="F82">
        <v>21.313789488768531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84</v>
      </c>
      <c r="E83">
        <v>8598284</v>
      </c>
      <c r="F83">
        <v>18.005898192301458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55</v>
      </c>
      <c r="E84">
        <v>5140788</v>
      </c>
      <c r="F84">
        <v>10.7654626616433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39</v>
      </c>
      <c r="E85">
        <v>4229841</v>
      </c>
      <c r="F85">
        <v>8.8578240048389407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33</v>
      </c>
      <c r="E86">
        <v>4114361</v>
      </c>
      <c r="F86">
        <v>8.615994225403071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32261162</v>
      </c>
      <c r="F87">
        <v>67.558968572955308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15491435</v>
      </c>
      <c r="F88">
        <v>32.441031427044692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47752597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94</v>
      </c>
      <c r="E90">
        <v>8541860</v>
      </c>
      <c r="F90">
        <v>17.746196149997079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84</v>
      </c>
      <c r="E91">
        <v>8040014</v>
      </c>
      <c r="F91">
        <v>16.70358276683563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39</v>
      </c>
      <c r="E92">
        <v>6543295</v>
      </c>
      <c r="F92">
        <v>13.594064587489751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33</v>
      </c>
      <c r="E93">
        <v>4735116</v>
      </c>
      <c r="F93">
        <v>9.8374706830818557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21</v>
      </c>
      <c r="E94">
        <v>3782840</v>
      </c>
      <c r="F94">
        <v>7.8590635580605346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31643125</v>
      </c>
      <c r="F95">
        <v>65.740377745464855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16490345</v>
      </c>
      <c r="F96">
        <v>34.259622254535152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48133470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84</v>
      </c>
      <c r="E98">
        <v>9051249</v>
      </c>
      <c r="F98">
        <v>23.147766714984691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39</v>
      </c>
      <c r="E99">
        <v>7266532</v>
      </c>
      <c r="F99">
        <v>18.583511243914639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33</v>
      </c>
      <c r="E100">
        <v>5142219</v>
      </c>
      <c r="F100">
        <v>13.150769115882451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94</v>
      </c>
      <c r="E101">
        <v>4737978</v>
      </c>
      <c r="F101">
        <v>12.11695860369433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21</v>
      </c>
      <c r="E102">
        <v>2028097</v>
      </c>
      <c r="F102">
        <v>5.1866782398053912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28226075</v>
      </c>
      <c r="F103">
        <v>72.185683918281498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10875965</v>
      </c>
      <c r="F104">
        <v>27.814316081718498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39102040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39</v>
      </c>
      <c r="E106">
        <v>9104267</v>
      </c>
      <c r="F106">
        <v>18.571814287793242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84</v>
      </c>
      <c r="E107">
        <v>8820746</v>
      </c>
      <c r="F107">
        <v>17.993459175988029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33</v>
      </c>
      <c r="E108">
        <v>7151743</v>
      </c>
      <c r="F108">
        <v>14.588856283545431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94</v>
      </c>
      <c r="E109">
        <v>5385609</v>
      </c>
      <c r="F109">
        <v>10.98611565046015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21</v>
      </c>
      <c r="E110">
        <v>3429991</v>
      </c>
      <c r="F110">
        <v>6.9968461888038016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33892356</v>
      </c>
      <c r="F111">
        <v>69.137091586590643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15129602</v>
      </c>
      <c r="F112">
        <v>30.862908413409361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49021958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39</v>
      </c>
      <c r="E114">
        <v>11858270</v>
      </c>
      <c r="F114">
        <v>16.99180510118255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33</v>
      </c>
      <c r="E115">
        <v>11025946</v>
      </c>
      <c r="F115">
        <v>15.799161723266829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94</v>
      </c>
      <c r="E116">
        <v>10471261</v>
      </c>
      <c r="F116">
        <v>15.00434937605687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84</v>
      </c>
      <c r="E117">
        <v>10393162</v>
      </c>
      <c r="F117">
        <v>14.892440726093829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21</v>
      </c>
      <c r="E118">
        <v>7353365</v>
      </c>
      <c r="F118">
        <v>10.53669252916802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51102004</v>
      </c>
      <c r="F119">
        <v>73.224449455768081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18686167</v>
      </c>
      <c r="F120">
        <v>26.775550544231908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69788171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39</v>
      </c>
      <c r="E122">
        <v>15475868</v>
      </c>
      <c r="F122">
        <v>28.278139693301259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84</v>
      </c>
      <c r="E123">
        <v>10588459</v>
      </c>
      <c r="F123">
        <v>19.347665845870029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94</v>
      </c>
      <c r="E124">
        <v>8511421</v>
      </c>
      <c r="F124">
        <v>15.552416964689661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55</v>
      </c>
      <c r="E125">
        <v>6749896</v>
      </c>
      <c r="F125">
        <v>12.333686356284209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31</v>
      </c>
      <c r="E126">
        <v>3058299</v>
      </c>
      <c r="F126">
        <v>5.5882491596518893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44383943</v>
      </c>
      <c r="F127">
        <v>81.10015801979705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10343377</v>
      </c>
      <c r="F128">
        <v>18.89984198020294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54727320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84</v>
      </c>
      <c r="E130">
        <v>14417455</v>
      </c>
      <c r="F130">
        <v>20.65973151909062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39</v>
      </c>
      <c r="E131">
        <v>13737864</v>
      </c>
      <c r="F131">
        <v>19.68590031221046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94</v>
      </c>
      <c r="E132">
        <v>13069393</v>
      </c>
      <c r="F132">
        <v>18.72800369395863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33</v>
      </c>
      <c r="E133">
        <v>8038111</v>
      </c>
      <c r="F133">
        <v>11.518344616345191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55</v>
      </c>
      <c r="E134">
        <v>5034241</v>
      </c>
      <c r="F134">
        <v>7.2138992257925043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54297064</v>
      </c>
      <c r="F135">
        <v>77.805879367397409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15488233</v>
      </c>
      <c r="F136">
        <v>22.194120632602591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69785297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2025-04-28T19:14:48Z</dcterms:created>
  <dcterms:modified xsi:type="dcterms:W3CDTF">2025-04-30T18:49:35Z</dcterms:modified>
</cp:coreProperties>
</file>